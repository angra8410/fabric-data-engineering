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8b79e924dc76c7/Documentos/"/>
    </mc:Choice>
  </mc:AlternateContent>
  <xr:revisionPtr revIDLastSave="513" documentId="13_ncr:1_{28DDD8A0-8C24-44F3-89AA-9762ACF37CE0}" xr6:coauthVersionLast="47" xr6:coauthVersionMax="47" xr10:uidLastSave="{B77699F0-9AB9-4FC6-B818-A8987D56EF71}"/>
  <bookViews>
    <workbookView xWindow="-110" yWindow="-110" windowWidth="25820" windowHeight="13900" xr2:uid="{00000000-000D-0000-FFFF-FFFF00000000}"/>
  </bookViews>
  <sheets>
    <sheet name="Executive Summary" sheetId="4" r:id="rId1"/>
    <sheet name="ARR Snowball" sheetId="5" r:id="rId2"/>
    <sheet name="ARR by Product" sheetId="6" r:id="rId3"/>
    <sheet name="Customer ARR Matrix" sheetId="7" r:id="rId4"/>
    <sheet name="GTM Funnel" sheetId="8" r:id="rId5"/>
    <sheet name="Clean_ARR_Data" sheetId="9" r:id="rId6"/>
    <sheet name="Clean_Funnel_Data" sheetId="10" r:id="rId7"/>
    <sheet name="Raw_Data" sheetId="11" r:id="rId8"/>
    <sheet name="ARR_Data" sheetId="1" r:id="rId9"/>
    <sheet name="Targets" sheetId="2" r:id="rId10"/>
    <sheet name="Funnel_Actuals" sheetId="3" r:id="rId11"/>
  </sheets>
  <definedNames>
    <definedName name="_xlnm._FilterDatabase" localSheetId="5" hidden="1">Clean_ARR_Data!$A$1:$G$755</definedName>
  </definedNames>
  <calcPr calcId="191029"/>
  <pivotCaches>
    <pivotCache cacheId="2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C8" i="6"/>
  <c r="D8" i="6"/>
  <c r="E8" i="6"/>
  <c r="F8" i="6"/>
  <c r="G8" i="6"/>
  <c r="H8" i="6"/>
  <c r="I8" i="6"/>
  <c r="J8" i="6"/>
  <c r="K8" i="6"/>
  <c r="L8" i="6"/>
  <c r="M8" i="6"/>
  <c r="N8" i="6"/>
  <c r="C9" i="6"/>
  <c r="D9" i="6"/>
  <c r="E9" i="6"/>
  <c r="F9" i="6"/>
  <c r="G9" i="6"/>
  <c r="H9" i="6"/>
  <c r="I9" i="6"/>
  <c r="J9" i="6"/>
  <c r="K9" i="6"/>
  <c r="L9" i="6"/>
  <c r="M9" i="6"/>
  <c r="N9" i="6"/>
  <c r="C10" i="6"/>
  <c r="D10" i="6"/>
  <c r="E10" i="6"/>
  <c r="F10" i="6"/>
  <c r="G10" i="6"/>
  <c r="H10" i="6"/>
  <c r="I10" i="6"/>
  <c r="J10" i="6"/>
  <c r="K10" i="6"/>
  <c r="L10" i="6"/>
  <c r="M10" i="6"/>
  <c r="N10" i="6"/>
  <c r="C11" i="6"/>
  <c r="D11" i="6"/>
  <c r="E11" i="6"/>
  <c r="F11" i="6"/>
  <c r="G11" i="6"/>
  <c r="H11" i="6"/>
  <c r="I11" i="6"/>
  <c r="J11" i="6"/>
  <c r="K11" i="6"/>
  <c r="L11" i="6"/>
  <c r="M11" i="6"/>
  <c r="N11" i="6"/>
  <c r="C12" i="6"/>
  <c r="D12" i="6"/>
  <c r="E12" i="6"/>
  <c r="F12" i="6"/>
  <c r="G12" i="6"/>
  <c r="H12" i="6"/>
  <c r="I12" i="6"/>
  <c r="J12" i="6"/>
  <c r="K12" i="6"/>
  <c r="L12" i="6"/>
  <c r="M12" i="6"/>
  <c r="N12" i="6"/>
  <c r="B12" i="6"/>
  <c r="B11" i="6"/>
  <c r="B10" i="6"/>
  <c r="B9" i="6"/>
  <c r="P41" i="7" a="1"/>
  <c r="P42" i="7" a="1"/>
  <c r="P43" i="7" a="1"/>
  <c r="P44" i="7" a="1"/>
  <c r="F41" i="7" a="1"/>
  <c r="D3" i="5" s="1"/>
  <c r="G41" i="7" a="1"/>
  <c r="E3" i="5" s="1"/>
  <c r="H41" i="7" a="1"/>
  <c r="F3" i="5" s="1"/>
  <c r="I41" i="7" a="1"/>
  <c r="G3" i="5" s="1"/>
  <c r="J41" i="7" a="1"/>
  <c r="H3" i="5" s="1"/>
  <c r="K41" i="7" a="1"/>
  <c r="I3" i="5" s="1"/>
  <c r="L41" i="7" a="1"/>
  <c r="J3" i="5" s="1"/>
  <c r="M41" i="7" a="1"/>
  <c r="K3" i="5" s="1"/>
  <c r="N41" i="7" a="1"/>
  <c r="L3" i="5" s="1"/>
  <c r="O41" i="7" a="1"/>
  <c r="M3" i="5" s="1"/>
  <c r="F42" i="7" a="1"/>
  <c r="D4" i="5" s="1"/>
  <c r="G42" i="7" a="1"/>
  <c r="E4" i="5" s="1"/>
  <c r="H42" i="7" a="1"/>
  <c r="F4" i="5" s="1"/>
  <c r="I42" i="7" a="1"/>
  <c r="G4" i="5" s="1"/>
  <c r="J42" i="7" a="1"/>
  <c r="H4" i="5" s="1"/>
  <c r="K42" i="7" a="1"/>
  <c r="I4" i="5" s="1"/>
  <c r="L42" i="7" a="1"/>
  <c r="J4" i="5" s="1"/>
  <c r="M42" i="7" a="1"/>
  <c r="K4" i="5" s="1"/>
  <c r="N42" i="7" a="1"/>
  <c r="L4" i="5" s="1"/>
  <c r="O42" i="7" a="1"/>
  <c r="M4" i="5" s="1"/>
  <c r="F43" i="7" a="1"/>
  <c r="D5" i="5" s="1"/>
  <c r="G43" i="7" a="1"/>
  <c r="E5" i="5" s="1"/>
  <c r="H43" i="7" a="1"/>
  <c r="F5" i="5" s="1"/>
  <c r="I43" i="7" a="1"/>
  <c r="G5" i="5" s="1"/>
  <c r="J43" i="7" a="1"/>
  <c r="H5" i="5" s="1"/>
  <c r="K43" i="7" a="1"/>
  <c r="I5" i="5" s="1"/>
  <c r="L43" i="7" a="1"/>
  <c r="J5" i="5" s="1"/>
  <c r="M43" i="7" a="1"/>
  <c r="K5" i="5" s="1"/>
  <c r="N43" i="7" a="1"/>
  <c r="L5" i="5" s="1"/>
  <c r="O43" i="7" a="1"/>
  <c r="M5" i="5" s="1"/>
  <c r="F44" i="7" a="1"/>
  <c r="D6" i="5" s="1"/>
  <c r="G44" i="7" a="1"/>
  <c r="E6" i="5" s="1"/>
  <c r="H44" i="7" a="1"/>
  <c r="F6" i="5" s="1"/>
  <c r="I44" i="7" a="1"/>
  <c r="G6" i="5" s="1"/>
  <c r="J44" i="7" a="1"/>
  <c r="H6" i="5" s="1"/>
  <c r="K44" i="7" a="1"/>
  <c r="I6" i="5" s="1"/>
  <c r="L44" i="7" a="1"/>
  <c r="J6" i="5" s="1"/>
  <c r="M44" i="7" a="1"/>
  <c r="K6" i="5" s="1"/>
  <c r="N44" i="7" a="1"/>
  <c r="L6" i="5" s="1"/>
  <c r="O44" i="7" a="1"/>
  <c r="M6" i="5" s="1"/>
  <c r="E41" i="7" a="1"/>
  <c r="C3" i="5" s="1"/>
  <c r="E42" i="7" a="1"/>
  <c r="C4" i="5" s="1"/>
  <c r="E43" i="7" a="1"/>
  <c r="C5" i="5" s="1"/>
  <c r="E44" i="7" a="1"/>
  <c r="C6" i="5" s="1"/>
  <c r="D44" i="7" a="1"/>
  <c r="B6" i="5" s="1"/>
  <c r="D43" i="7" a="1"/>
  <c r="B5" i="5" s="1"/>
  <c r="D42" i="7" a="1"/>
  <c r="B4" i="5" s="1"/>
  <c r="N4" i="5" s="1"/>
  <c r="D41" i="7" a="1"/>
  <c r="B3" i="5" s="1"/>
  <c r="N3" i="5" s="1"/>
  <c r="B2" i="5"/>
  <c r="C7" i="5"/>
  <c r="D7" i="5"/>
  <c r="E7" i="5"/>
  <c r="F7" i="5"/>
  <c r="G7" i="5"/>
  <c r="H7" i="5"/>
  <c r="I7" i="5"/>
  <c r="J7" i="5"/>
  <c r="K7" i="5"/>
  <c r="L7" i="5"/>
  <c r="M7" i="5"/>
  <c r="B7" i="5"/>
  <c r="N9" i="8"/>
  <c r="N8" i="8"/>
  <c r="N7" i="8"/>
  <c r="N6" i="8"/>
  <c r="N5" i="8"/>
  <c r="N4" i="8"/>
  <c r="N3" i="8"/>
  <c r="N2" i="8"/>
  <c r="D1" i="8" a="1"/>
  <c r="E1" i="8" a="1"/>
  <c r="F1" i="8" a="1"/>
  <c r="G1" i="8" a="1"/>
  <c r="H1" i="8" a="1"/>
  <c r="I1" i="8" a="1"/>
  <c r="J1" i="8" a="1"/>
  <c r="K1" i="8" a="1"/>
  <c r="L1" i="8" a="1"/>
  <c r="M1" i="8" a="1"/>
  <c r="D2" i="8" a="1"/>
  <c r="E2" i="8" a="1"/>
  <c r="F2" i="8" a="1"/>
  <c r="G2" i="8" a="1"/>
  <c r="H2" i="8" a="1"/>
  <c r="I2" i="8" a="1"/>
  <c r="J2" i="8" a="1"/>
  <c r="K2" i="8" a="1"/>
  <c r="L2" i="8" a="1"/>
  <c r="M2" i="8" a="1"/>
  <c r="D3" i="8" a="1"/>
  <c r="E3" i="8" a="1"/>
  <c r="F3" i="8" a="1"/>
  <c r="G3" i="8" a="1"/>
  <c r="H3" i="8" a="1"/>
  <c r="I3" i="8" a="1"/>
  <c r="J3" i="8" a="1"/>
  <c r="K3" i="8" a="1"/>
  <c r="L3" i="8" a="1"/>
  <c r="M3" i="8" a="1"/>
  <c r="D4" i="8" a="1"/>
  <c r="E4" i="8" a="1"/>
  <c r="F4" i="8" a="1"/>
  <c r="G4" i="8" a="1"/>
  <c r="H4" i="8" a="1"/>
  <c r="I4" i="8" a="1"/>
  <c r="J4" i="8" a="1"/>
  <c r="K4" i="8" a="1"/>
  <c r="L4" i="8" a="1"/>
  <c r="M4" i="8" a="1"/>
  <c r="D5" i="8" a="1"/>
  <c r="E5" i="8" a="1"/>
  <c r="F5" i="8" a="1"/>
  <c r="G5" i="8" a="1"/>
  <c r="H5" i="8" a="1"/>
  <c r="I5" i="8" a="1"/>
  <c r="J5" i="8" a="1"/>
  <c r="K5" i="8" a="1"/>
  <c r="L5" i="8" a="1"/>
  <c r="M5" i="8" a="1"/>
  <c r="D6" i="8" a="1"/>
  <c r="E6" i="8" a="1"/>
  <c r="F6" i="8" a="1"/>
  <c r="G6" i="8" a="1"/>
  <c r="H6" i="8" a="1"/>
  <c r="I6" i="8" a="1"/>
  <c r="J6" i="8" a="1"/>
  <c r="K6" i="8" a="1"/>
  <c r="L6" i="8" a="1"/>
  <c r="M6" i="8" a="1"/>
  <c r="D7" i="8" a="1"/>
  <c r="E7" i="8" a="1"/>
  <c r="F7" i="8" a="1"/>
  <c r="G7" i="8" a="1"/>
  <c r="H7" i="8" a="1"/>
  <c r="I7" i="8" a="1"/>
  <c r="J7" i="8" a="1"/>
  <c r="K7" i="8" a="1"/>
  <c r="L7" i="8" a="1"/>
  <c r="M7" i="8" a="1"/>
  <c r="D8" i="8" a="1"/>
  <c r="E8" i="8" a="1"/>
  <c r="F8" i="8" a="1"/>
  <c r="G8" i="8" a="1"/>
  <c r="H8" i="8" a="1"/>
  <c r="I8" i="8" a="1"/>
  <c r="J8" i="8" a="1"/>
  <c r="K8" i="8" a="1"/>
  <c r="L8" i="8" a="1"/>
  <c r="M8" i="8" a="1"/>
  <c r="D9" i="8" a="1"/>
  <c r="E9" i="8" a="1"/>
  <c r="F9" i="8" a="1"/>
  <c r="G9" i="8" a="1"/>
  <c r="H9" i="8" a="1"/>
  <c r="I9" i="8" a="1"/>
  <c r="J9" i="8" a="1"/>
  <c r="K9" i="8" a="1"/>
  <c r="L9" i="8" a="1"/>
  <c r="M9" i="8" a="1"/>
  <c r="C1" i="8" a="1"/>
  <c r="C2" i="8" a="1"/>
  <c r="C3" i="8" a="1"/>
  <c r="C4" i="8" a="1"/>
  <c r="C5" i="8" a="1"/>
  <c r="C6" i="8" a="1"/>
  <c r="C7" i="8" a="1"/>
  <c r="C8" i="8" a="1"/>
  <c r="C9" i="8" a="1"/>
  <c r="B9" i="8" a="1"/>
  <c r="B8" i="8" a="1"/>
  <c r="B7" i="8" a="1"/>
  <c r="B6" i="8" a="1"/>
  <c r="B5" i="8" a="1"/>
  <c r="B4" i="8" a="1"/>
  <c r="B3" i="8" a="1"/>
  <c r="B2" i="8" a="1"/>
  <c r="B1" i="8" a="1"/>
  <c r="F9" i="10"/>
  <c r="F3" i="10"/>
  <c r="F4" i="10"/>
  <c r="F5" i="10"/>
  <c r="F6" i="10"/>
  <c r="F7" i="10"/>
  <c r="F8" i="10"/>
  <c r="F10" i="10"/>
  <c r="F11" i="10"/>
  <c r="F12" i="10"/>
  <c r="F13" i="10"/>
  <c r="F2" i="10"/>
  <c r="C5" i="10"/>
  <c r="C6" i="10"/>
  <c r="C7" i="10"/>
  <c r="C8" i="10"/>
  <c r="C9" i="10"/>
  <c r="C10" i="10"/>
  <c r="C11" i="10"/>
  <c r="C12" i="10"/>
  <c r="C13" i="10"/>
  <c r="C4" i="10"/>
  <c r="C3" i="10"/>
  <c r="C2" i="10"/>
  <c r="G2" i="9" a="1"/>
  <c r="G8" i="9" a="1"/>
  <c r="G9" i="9" a="1"/>
  <c r="G10" i="9" a="1"/>
  <c r="G11" i="9" a="1"/>
  <c r="G12" i="9" a="1"/>
  <c r="G13" i="9" a="1"/>
  <c r="G14" i="9" a="1"/>
  <c r="G15" i="9" a="1"/>
  <c r="G16" i="9" a="1"/>
  <c r="G17" i="9" a="1"/>
  <c r="G18" i="9" a="1"/>
  <c r="G19" i="9" a="1"/>
  <c r="G20" i="9" a="1"/>
  <c r="G21" i="9" a="1"/>
  <c r="G22" i="9" a="1"/>
  <c r="G23" i="9" a="1"/>
  <c r="G24" i="9" a="1"/>
  <c r="G25" i="9" a="1"/>
  <c r="G26" i="9" a="1"/>
  <c r="G27" i="9" a="1"/>
  <c r="G28" i="9" a="1"/>
  <c r="G29" i="9" a="1"/>
  <c r="G30" i="9" a="1"/>
  <c r="G31" i="9" a="1"/>
  <c r="G32" i="9" a="1"/>
  <c r="G33" i="9" a="1"/>
  <c r="G34" i="9" a="1"/>
  <c r="G35" i="9" a="1"/>
  <c r="G36" i="9" a="1"/>
  <c r="G37" i="9" a="1"/>
  <c r="G38" i="9" a="1"/>
  <c r="G39" i="9" a="1"/>
  <c r="G40" i="9" a="1"/>
  <c r="G41" i="9" a="1"/>
  <c r="G42" i="9" a="1"/>
  <c r="G43" i="9" a="1"/>
  <c r="G44" i="9" a="1"/>
  <c r="G45" i="9" a="1"/>
  <c r="G46" i="9" a="1"/>
  <c r="G47" i="9" a="1"/>
  <c r="G48" i="9" a="1"/>
  <c r="G49" i="9" a="1"/>
  <c r="G50" i="9" a="1"/>
  <c r="G51" i="9" a="1"/>
  <c r="G52" i="9" a="1"/>
  <c r="G53" i="9" a="1"/>
  <c r="G54" i="9" a="1"/>
  <c r="G55" i="9" a="1"/>
  <c r="G56" i="9" a="1"/>
  <c r="G57" i="9" a="1"/>
  <c r="G58" i="9" a="1"/>
  <c r="G59" i="9" a="1"/>
  <c r="G60" i="9" a="1"/>
  <c r="G61" i="9" a="1"/>
  <c r="G62" i="9" a="1"/>
  <c r="G63" i="9" a="1"/>
  <c r="G64" i="9" a="1"/>
  <c r="G65" i="9" a="1"/>
  <c r="G66" i="9" a="1"/>
  <c r="G67" i="9" a="1"/>
  <c r="G68" i="9" a="1"/>
  <c r="G69" i="9" a="1"/>
  <c r="G70" i="9" a="1"/>
  <c r="G71" i="9" a="1"/>
  <c r="G72" i="9" a="1"/>
  <c r="G73" i="9" a="1"/>
  <c r="G74" i="9" a="1"/>
  <c r="G75" i="9" a="1"/>
  <c r="G76" i="9" a="1"/>
  <c r="G77" i="9" a="1"/>
  <c r="G78" i="9" a="1"/>
  <c r="G79" i="9" a="1"/>
  <c r="G80" i="9" a="1"/>
  <c r="G81" i="9" a="1"/>
  <c r="G82" i="9" a="1"/>
  <c r="G83" i="9" a="1"/>
  <c r="G84" i="9" a="1"/>
  <c r="G85" i="9" a="1"/>
  <c r="G86" i="9" a="1"/>
  <c r="G87" i="9" a="1"/>
  <c r="G88" i="9" a="1"/>
  <c r="G89" i="9" a="1"/>
  <c r="G90" i="9" a="1"/>
  <c r="G91" i="9" a="1"/>
  <c r="G92" i="9" a="1"/>
  <c r="G93" i="9" a="1"/>
  <c r="G94" i="9" a="1"/>
  <c r="G95" i="9" a="1"/>
  <c r="G96" i="9" a="1"/>
  <c r="G97" i="9" a="1"/>
  <c r="G98" i="9" a="1"/>
  <c r="G99" i="9" a="1"/>
  <c r="G100" i="9" a="1"/>
  <c r="G101" i="9" a="1"/>
  <c r="G102" i="9" a="1"/>
  <c r="G103" i="9" a="1"/>
  <c r="G104" i="9" a="1"/>
  <c r="G105" i="9" a="1"/>
  <c r="G106" i="9" a="1"/>
  <c r="G107" i="9" a="1"/>
  <c r="G108" i="9" a="1"/>
  <c r="G109" i="9" a="1"/>
  <c r="G110" i="9" a="1"/>
  <c r="G111" i="9" a="1"/>
  <c r="G112" i="9" a="1"/>
  <c r="G113" i="9" a="1"/>
  <c r="G114" i="9" a="1"/>
  <c r="G115" i="9" a="1"/>
  <c r="G116" i="9" a="1"/>
  <c r="G117" i="9" a="1"/>
  <c r="G118" i="9" a="1"/>
  <c r="G119" i="9" a="1"/>
  <c r="G120" i="9" a="1"/>
  <c r="G121" i="9" a="1"/>
  <c r="G122" i="9" a="1"/>
  <c r="G123" i="9" a="1"/>
  <c r="G124" i="9" a="1"/>
  <c r="G125" i="9" a="1"/>
  <c r="G126" i="9" a="1"/>
  <c r="G127" i="9" a="1"/>
  <c r="G128" i="9" a="1"/>
  <c r="G129" i="9" a="1"/>
  <c r="G130" i="9" a="1"/>
  <c r="G131" i="9" a="1"/>
  <c r="G132" i="9" a="1"/>
  <c r="G133" i="9" a="1"/>
  <c r="G134" i="9" a="1"/>
  <c r="G135" i="9" a="1"/>
  <c r="G136" i="9" a="1"/>
  <c r="G137" i="9" a="1"/>
  <c r="G138" i="9" a="1"/>
  <c r="G139" i="9" a="1"/>
  <c r="G140" i="9" a="1"/>
  <c r="G141" i="9" a="1"/>
  <c r="G142" i="9" a="1"/>
  <c r="G143" i="9" a="1"/>
  <c r="G144" i="9" a="1"/>
  <c r="G145" i="9" a="1"/>
  <c r="G146" i="9" a="1"/>
  <c r="G147" i="9" a="1"/>
  <c r="G148" i="9" a="1"/>
  <c r="G149" i="9" a="1"/>
  <c r="G150" i="9" a="1"/>
  <c r="G151" i="9" a="1"/>
  <c r="G152" i="9" a="1"/>
  <c r="G153" i="9" a="1"/>
  <c r="G154" i="9" a="1"/>
  <c r="G155" i="9" a="1"/>
  <c r="G156" i="9" a="1"/>
  <c r="G157" i="9" a="1"/>
  <c r="G158" i="9" a="1"/>
  <c r="G159" i="9" a="1"/>
  <c r="G160" i="9" a="1"/>
  <c r="G161" i="9" a="1"/>
  <c r="G162" i="9" a="1"/>
  <c r="G163" i="9" a="1"/>
  <c r="G164" i="9" a="1"/>
  <c r="G165" i="9" a="1"/>
  <c r="G166" i="9" a="1"/>
  <c r="G167" i="9" a="1"/>
  <c r="G168" i="9" a="1"/>
  <c r="G169" i="9" a="1"/>
  <c r="G170" i="9" a="1"/>
  <c r="G171" i="9" a="1"/>
  <c r="G172" i="9" a="1"/>
  <c r="G173" i="9" a="1"/>
  <c r="G174" i="9" a="1"/>
  <c r="G175" i="9" a="1"/>
  <c r="G176" i="9" a="1"/>
  <c r="G177" i="9" a="1"/>
  <c r="G178" i="9" a="1"/>
  <c r="G179" i="9" a="1"/>
  <c r="G180" i="9" a="1"/>
  <c r="G181" i="9" a="1"/>
  <c r="G182" i="9" a="1"/>
  <c r="G183" i="9" a="1"/>
  <c r="G184" i="9" a="1"/>
  <c r="G185" i="9" a="1"/>
  <c r="G186" i="9" a="1"/>
  <c r="G187" i="9" a="1"/>
  <c r="G188" i="9" a="1"/>
  <c r="G189" i="9" a="1"/>
  <c r="G190" i="9" a="1"/>
  <c r="G191" i="9" a="1"/>
  <c r="G192" i="9" a="1"/>
  <c r="G193" i="9" a="1"/>
  <c r="G194" i="9" a="1"/>
  <c r="G195" i="9" a="1"/>
  <c r="G196" i="9" a="1"/>
  <c r="G197" i="9" a="1"/>
  <c r="G198" i="9" a="1"/>
  <c r="G199" i="9" a="1"/>
  <c r="G200" i="9" a="1"/>
  <c r="G201" i="9" a="1"/>
  <c r="G202" i="9" a="1"/>
  <c r="G203" i="9" a="1"/>
  <c r="G204" i="9" a="1"/>
  <c r="G205" i="9" a="1"/>
  <c r="G206" i="9" a="1"/>
  <c r="G207" i="9" a="1"/>
  <c r="G208" i="9" a="1"/>
  <c r="G209" i="9" a="1"/>
  <c r="G210" i="9" a="1"/>
  <c r="G211" i="9" a="1"/>
  <c r="G212" i="9" a="1"/>
  <c r="G213" i="9" a="1"/>
  <c r="G214" i="9" a="1"/>
  <c r="G215" i="9" a="1"/>
  <c r="G216" i="9" a="1"/>
  <c r="G217" i="9" a="1"/>
  <c r="G218" i="9" a="1"/>
  <c r="G219" i="9" a="1"/>
  <c r="G220" i="9" a="1"/>
  <c r="G221" i="9" a="1"/>
  <c r="G222" i="9" a="1"/>
  <c r="G223" i="9" a="1"/>
  <c r="G224" i="9" a="1"/>
  <c r="G225" i="9" a="1"/>
  <c r="G226" i="9" a="1"/>
  <c r="G227" i="9" a="1"/>
  <c r="G228" i="9" a="1"/>
  <c r="G229" i="9" a="1"/>
  <c r="G230" i="9" a="1"/>
  <c r="G231" i="9" a="1"/>
  <c r="G232" i="9" a="1"/>
  <c r="G233" i="9" a="1"/>
  <c r="G234" i="9" a="1"/>
  <c r="G235" i="9" a="1"/>
  <c r="G236" i="9" a="1"/>
  <c r="G237" i="9" a="1"/>
  <c r="G238" i="9" a="1"/>
  <c r="G239" i="9" a="1"/>
  <c r="G240" i="9" a="1"/>
  <c r="G241" i="9" a="1"/>
  <c r="G242" i="9" a="1"/>
  <c r="G243" i="9" a="1"/>
  <c r="G244" i="9" a="1"/>
  <c r="G245" i="9" a="1"/>
  <c r="G246" i="9" a="1"/>
  <c r="G247" i="9" a="1"/>
  <c r="G248" i="9" a="1"/>
  <c r="G249" i="9" a="1"/>
  <c r="G250" i="9" a="1"/>
  <c r="G251" i="9" a="1"/>
  <c r="G252" i="9" a="1"/>
  <c r="G253" i="9" a="1"/>
  <c r="G254" i="9" a="1"/>
  <c r="G255" i="9" a="1"/>
  <c r="G256" i="9" a="1"/>
  <c r="G257" i="9" a="1"/>
  <c r="G258" i="9" a="1"/>
  <c r="G259" i="9" a="1"/>
  <c r="G260" i="9" a="1"/>
  <c r="G261" i="9" a="1"/>
  <c r="G262" i="9" a="1"/>
  <c r="G263" i="9" a="1"/>
  <c r="G264" i="9" a="1"/>
  <c r="G265" i="9" a="1"/>
  <c r="G266" i="9" a="1"/>
  <c r="G267" i="9" a="1"/>
  <c r="G268" i="9" a="1"/>
  <c r="G269" i="9" a="1"/>
  <c r="G270" i="9" a="1"/>
  <c r="G271" i="9" a="1"/>
  <c r="G272" i="9" a="1"/>
  <c r="G273" i="9" a="1"/>
  <c r="G274" i="9" a="1"/>
  <c r="G275" i="9" a="1"/>
  <c r="G276" i="9" a="1"/>
  <c r="G277" i="9" a="1"/>
  <c r="G278" i="9" a="1"/>
  <c r="G279" i="9" a="1"/>
  <c r="G280" i="9" a="1"/>
  <c r="G281" i="9" a="1"/>
  <c r="G282" i="9" a="1"/>
  <c r="G283" i="9" a="1"/>
  <c r="G284" i="9" a="1"/>
  <c r="G285" i="9" a="1"/>
  <c r="G286" i="9" a="1"/>
  <c r="G287" i="9" a="1"/>
  <c r="G288" i="9" a="1"/>
  <c r="G289" i="9" a="1"/>
  <c r="G290" i="9" a="1"/>
  <c r="G291" i="9" a="1"/>
  <c r="G292" i="9" a="1"/>
  <c r="G293" i="9" a="1"/>
  <c r="G294" i="9" a="1"/>
  <c r="G295" i="9" a="1"/>
  <c r="G296" i="9" a="1"/>
  <c r="G297" i="9" a="1"/>
  <c r="G298" i="9" a="1"/>
  <c r="G299" i="9" a="1"/>
  <c r="G300" i="9" a="1"/>
  <c r="G301" i="9" a="1"/>
  <c r="G302" i="9" a="1"/>
  <c r="G303" i="9" a="1"/>
  <c r="G304" i="9" a="1"/>
  <c r="G305" i="9" a="1"/>
  <c r="G306" i="9" a="1"/>
  <c r="G307" i="9" a="1"/>
  <c r="G308" i="9" a="1"/>
  <c r="G309" i="9" a="1"/>
  <c r="G310" i="9" a="1"/>
  <c r="G311" i="9" a="1"/>
  <c r="G312" i="9" a="1"/>
  <c r="G313" i="9" a="1"/>
  <c r="G314" i="9" a="1"/>
  <c r="G315" i="9" a="1"/>
  <c r="G316" i="9" a="1"/>
  <c r="G317" i="9" a="1"/>
  <c r="G318" i="9" a="1"/>
  <c r="G319" i="9" a="1"/>
  <c r="G320" i="9" a="1"/>
  <c r="G321" i="9" a="1"/>
  <c r="G322" i="9" a="1"/>
  <c r="G323" i="9" a="1"/>
  <c r="G324" i="9" a="1"/>
  <c r="G325" i="9" a="1"/>
  <c r="G326" i="9" a="1"/>
  <c r="G327" i="9" a="1"/>
  <c r="G328" i="9" a="1"/>
  <c r="G329" i="9" a="1"/>
  <c r="G330" i="9" a="1"/>
  <c r="G331" i="9" a="1"/>
  <c r="G332" i="9" a="1"/>
  <c r="G333" i="9" a="1"/>
  <c r="G334" i="9" a="1"/>
  <c r="G335" i="9" a="1"/>
  <c r="G336" i="9" a="1"/>
  <c r="G337" i="9" a="1"/>
  <c r="G338" i="9" a="1"/>
  <c r="G339" i="9" a="1"/>
  <c r="G340" i="9" a="1"/>
  <c r="G341" i="9" a="1"/>
  <c r="G342" i="9" a="1"/>
  <c r="G343" i="9" a="1"/>
  <c r="G344" i="9" a="1"/>
  <c r="G345" i="9" a="1"/>
  <c r="G346" i="9" a="1"/>
  <c r="G347" i="9" a="1"/>
  <c r="G348" i="9" a="1"/>
  <c r="G349" i="9" a="1"/>
  <c r="G350" i="9" a="1"/>
  <c r="G351" i="9" a="1"/>
  <c r="G352" i="9" a="1"/>
  <c r="G353" i="9" a="1"/>
  <c r="G354" i="9" a="1"/>
  <c r="G355" i="9" a="1"/>
  <c r="G356" i="9" a="1"/>
  <c r="G357" i="9" a="1"/>
  <c r="G358" i="9" a="1"/>
  <c r="G359" i="9" a="1"/>
  <c r="G360" i="9" a="1"/>
  <c r="G361" i="9" a="1"/>
  <c r="G362" i="9" a="1"/>
  <c r="G363" i="9" a="1"/>
  <c r="G364" i="9" a="1"/>
  <c r="G365" i="9" a="1"/>
  <c r="G366" i="9" a="1"/>
  <c r="G367" i="9" a="1"/>
  <c r="G368" i="9" a="1"/>
  <c r="G369" i="9" a="1"/>
  <c r="G370" i="9" a="1"/>
  <c r="G371" i="9" a="1"/>
  <c r="G372" i="9" a="1"/>
  <c r="G373" i="9" a="1"/>
  <c r="G374" i="9" a="1"/>
  <c r="G375" i="9" a="1"/>
  <c r="G376" i="9" a="1"/>
  <c r="G377" i="9" a="1"/>
  <c r="G378" i="9" a="1"/>
  <c r="G379" i="9" a="1"/>
  <c r="G380" i="9" a="1"/>
  <c r="G381" i="9" a="1"/>
  <c r="G382" i="9" a="1"/>
  <c r="G383" i="9" a="1"/>
  <c r="G384" i="9" a="1"/>
  <c r="G385" i="9" a="1"/>
  <c r="G386" i="9" a="1"/>
  <c r="G387" i="9" a="1"/>
  <c r="G388" i="9" a="1"/>
  <c r="G389" i="9" a="1"/>
  <c r="G390" i="9" a="1"/>
  <c r="G391" i="9" a="1"/>
  <c r="G392" i="9" a="1"/>
  <c r="G393" i="9" a="1"/>
  <c r="G394" i="9" a="1"/>
  <c r="G395" i="9" a="1"/>
  <c r="G396" i="9" a="1"/>
  <c r="G397" i="9" a="1"/>
  <c r="G398" i="9" a="1"/>
  <c r="G399" i="9" a="1"/>
  <c r="G400" i="9" a="1"/>
  <c r="G401" i="9" a="1"/>
  <c r="G402" i="9" a="1"/>
  <c r="G403" i="9" a="1"/>
  <c r="G404" i="9" a="1"/>
  <c r="G405" i="9" a="1"/>
  <c r="G406" i="9" a="1"/>
  <c r="G407" i="9" a="1"/>
  <c r="G408" i="9" a="1"/>
  <c r="G409" i="9" a="1"/>
  <c r="G410" i="9" a="1"/>
  <c r="G411" i="9" a="1"/>
  <c r="G412" i="9" a="1"/>
  <c r="G413" i="9" a="1"/>
  <c r="G414" i="9" a="1"/>
  <c r="G415" i="9" a="1"/>
  <c r="G416" i="9" a="1"/>
  <c r="G417" i="9" a="1"/>
  <c r="G418" i="9" a="1"/>
  <c r="G419" i="9" a="1"/>
  <c r="G420" i="9" a="1"/>
  <c r="G421" i="9" a="1"/>
  <c r="G422" i="9" a="1"/>
  <c r="G423" i="9" a="1"/>
  <c r="G424" i="9" a="1"/>
  <c r="G425" i="9" a="1"/>
  <c r="G426" i="9" a="1"/>
  <c r="G427" i="9" a="1"/>
  <c r="G428" i="9" a="1"/>
  <c r="G429" i="9" a="1"/>
  <c r="G430" i="9" a="1"/>
  <c r="G431" i="9" a="1"/>
  <c r="G432" i="9" a="1"/>
  <c r="G433" i="9" a="1"/>
  <c r="G434" i="9" a="1"/>
  <c r="G435" i="9" a="1"/>
  <c r="G436" i="9" a="1"/>
  <c r="G437" i="9" a="1"/>
  <c r="G438" i="9" a="1"/>
  <c r="G439" i="9" a="1"/>
  <c r="G440" i="9" a="1"/>
  <c r="G441" i="9" a="1"/>
  <c r="G442" i="9" a="1"/>
  <c r="G443" i="9" a="1"/>
  <c r="G444" i="9" a="1"/>
  <c r="G445" i="9" a="1"/>
  <c r="G446" i="9" a="1"/>
  <c r="G447" i="9" a="1"/>
  <c r="G448" i="9" a="1"/>
  <c r="G449" i="9" a="1"/>
  <c r="G450" i="9" a="1"/>
  <c r="G451" i="9" a="1"/>
  <c r="G452" i="9" a="1"/>
  <c r="G453" i="9" a="1"/>
  <c r="G454" i="9" a="1"/>
  <c r="G455" i="9" a="1"/>
  <c r="G456" i="9" a="1"/>
  <c r="G457" i="9" a="1"/>
  <c r="G458" i="9" a="1"/>
  <c r="G459" i="9" a="1"/>
  <c r="G460" i="9" a="1"/>
  <c r="G461" i="9" a="1"/>
  <c r="G462" i="9" a="1"/>
  <c r="G463" i="9" a="1"/>
  <c r="G464" i="9" a="1"/>
  <c r="G465" i="9" a="1"/>
  <c r="G466" i="9" a="1"/>
  <c r="G467" i="9" a="1"/>
  <c r="G468" i="9" a="1"/>
  <c r="G469" i="9" a="1"/>
  <c r="G470" i="9" a="1"/>
  <c r="G471" i="9" a="1"/>
  <c r="G472" i="9" a="1"/>
  <c r="G473" i="9" a="1"/>
  <c r="G474" i="9" a="1"/>
  <c r="G475" i="9" a="1"/>
  <c r="G476" i="9" a="1"/>
  <c r="G477" i="9" a="1"/>
  <c r="G478" i="9" a="1"/>
  <c r="G479" i="9" a="1"/>
  <c r="G480" i="9" a="1"/>
  <c r="G481" i="9" a="1"/>
  <c r="G482" i="9" a="1"/>
  <c r="G483" i="9" a="1"/>
  <c r="G484" i="9" a="1"/>
  <c r="G485" i="9" a="1"/>
  <c r="G486" i="9" a="1"/>
  <c r="G487" i="9" a="1"/>
  <c r="G488" i="9" a="1"/>
  <c r="G489" i="9" a="1"/>
  <c r="G490" i="9" a="1"/>
  <c r="G491" i="9" a="1"/>
  <c r="G492" i="9" a="1"/>
  <c r="G493" i="9" a="1"/>
  <c r="G494" i="9" a="1"/>
  <c r="G495" i="9" a="1"/>
  <c r="G496" i="9" a="1"/>
  <c r="G497" i="9" a="1"/>
  <c r="G498" i="9" a="1"/>
  <c r="G499" i="9" a="1"/>
  <c r="G500" i="9" a="1"/>
  <c r="G501" i="9" a="1"/>
  <c r="G502" i="9" a="1"/>
  <c r="G503" i="9" a="1"/>
  <c r="G504" i="9" a="1"/>
  <c r="G505" i="9" a="1"/>
  <c r="G506" i="9" a="1"/>
  <c r="G507" i="9" a="1"/>
  <c r="G508" i="9" a="1"/>
  <c r="G509" i="9" a="1"/>
  <c r="G510" i="9" a="1"/>
  <c r="G511" i="9" a="1"/>
  <c r="G512" i="9" a="1"/>
  <c r="G513" i="9" a="1"/>
  <c r="G514" i="9" a="1"/>
  <c r="G515" i="9" a="1"/>
  <c r="G516" i="9" a="1"/>
  <c r="G517" i="9" a="1"/>
  <c r="G518" i="9" a="1"/>
  <c r="G519" i="9" a="1"/>
  <c r="G520" i="9" a="1"/>
  <c r="G521" i="9" a="1"/>
  <c r="G522" i="9" a="1"/>
  <c r="G523" i="9" a="1"/>
  <c r="G524" i="9" a="1"/>
  <c r="G525" i="9" a="1"/>
  <c r="G526" i="9" a="1"/>
  <c r="G527" i="9" a="1"/>
  <c r="G528" i="9" a="1"/>
  <c r="G529" i="9" a="1"/>
  <c r="G530" i="9" a="1"/>
  <c r="G531" i="9" a="1"/>
  <c r="G532" i="9" a="1"/>
  <c r="G533" i="9" a="1"/>
  <c r="G534" i="9" a="1"/>
  <c r="G535" i="9" a="1"/>
  <c r="G536" i="9" a="1"/>
  <c r="G537" i="9" a="1"/>
  <c r="G538" i="9" a="1"/>
  <c r="G539" i="9" a="1"/>
  <c r="G540" i="9" a="1"/>
  <c r="G541" i="9" a="1"/>
  <c r="G542" i="9" a="1"/>
  <c r="G543" i="9" a="1"/>
  <c r="G544" i="9" a="1"/>
  <c r="G545" i="9" a="1"/>
  <c r="G546" i="9" a="1"/>
  <c r="G547" i="9" a="1"/>
  <c r="G548" i="9" a="1"/>
  <c r="G549" i="9" a="1"/>
  <c r="G550" i="9" a="1"/>
  <c r="G551" i="9" a="1"/>
  <c r="G552" i="9" a="1"/>
  <c r="G553" i="9" a="1"/>
  <c r="G554" i="9" a="1"/>
  <c r="G555" i="9" a="1"/>
  <c r="G556" i="9" a="1"/>
  <c r="G557" i="9" a="1"/>
  <c r="G558" i="9" a="1"/>
  <c r="G559" i="9" a="1"/>
  <c r="G560" i="9" a="1"/>
  <c r="G561" i="9" a="1"/>
  <c r="G562" i="9" a="1"/>
  <c r="G563" i="9" a="1"/>
  <c r="G564" i="9" a="1"/>
  <c r="G565" i="9" a="1"/>
  <c r="G566" i="9" a="1"/>
  <c r="G567" i="9" a="1"/>
  <c r="G568" i="9" a="1"/>
  <c r="G569" i="9" a="1"/>
  <c r="G570" i="9" a="1"/>
  <c r="G571" i="9" a="1"/>
  <c r="G572" i="9" a="1"/>
  <c r="G573" i="9" a="1"/>
  <c r="G574" i="9" a="1"/>
  <c r="G575" i="9" a="1"/>
  <c r="G576" i="9" a="1"/>
  <c r="G577" i="9" a="1"/>
  <c r="G578" i="9" a="1"/>
  <c r="G579" i="9" a="1"/>
  <c r="G580" i="9" a="1"/>
  <c r="G581" i="9" a="1"/>
  <c r="G582" i="9" a="1"/>
  <c r="G583" i="9" a="1"/>
  <c r="G584" i="9" a="1"/>
  <c r="G585" i="9" a="1"/>
  <c r="G586" i="9" a="1"/>
  <c r="G587" i="9" a="1"/>
  <c r="G588" i="9" a="1"/>
  <c r="G589" i="9" a="1"/>
  <c r="G590" i="9" a="1"/>
  <c r="G591" i="9" a="1"/>
  <c r="G592" i="9" a="1"/>
  <c r="G593" i="9" a="1"/>
  <c r="G594" i="9" a="1"/>
  <c r="G595" i="9" a="1"/>
  <c r="G596" i="9" a="1"/>
  <c r="G597" i="9" a="1"/>
  <c r="G598" i="9" a="1"/>
  <c r="G599" i="9" a="1"/>
  <c r="G600" i="9" a="1"/>
  <c r="G601" i="9" a="1"/>
  <c r="G602" i="9" a="1"/>
  <c r="G603" i="9" a="1"/>
  <c r="G604" i="9" a="1"/>
  <c r="G605" i="9" a="1"/>
  <c r="G606" i="9" a="1"/>
  <c r="G607" i="9" a="1"/>
  <c r="G608" i="9" a="1"/>
  <c r="G609" i="9" a="1"/>
  <c r="G610" i="9" a="1"/>
  <c r="G611" i="9" a="1"/>
  <c r="G612" i="9" a="1"/>
  <c r="G613" i="9" a="1"/>
  <c r="G614" i="9" a="1"/>
  <c r="G615" i="9" a="1"/>
  <c r="G616" i="9" a="1"/>
  <c r="G617" i="9" a="1"/>
  <c r="G618" i="9" a="1"/>
  <c r="G619" i="9" a="1"/>
  <c r="G620" i="9" a="1"/>
  <c r="G621" i="9" a="1"/>
  <c r="G622" i="9" a="1"/>
  <c r="G623" i="9" a="1"/>
  <c r="G624" i="9" a="1"/>
  <c r="G625" i="9" a="1"/>
  <c r="G626" i="9" a="1"/>
  <c r="G627" i="9" a="1"/>
  <c r="G628" i="9" a="1"/>
  <c r="G629" i="9" a="1"/>
  <c r="G630" i="9" a="1"/>
  <c r="G631" i="9" a="1"/>
  <c r="G632" i="9" a="1"/>
  <c r="G633" i="9" a="1"/>
  <c r="G634" i="9" a="1"/>
  <c r="G635" i="9" a="1"/>
  <c r="G636" i="9" a="1"/>
  <c r="G637" i="9" a="1"/>
  <c r="G638" i="9" a="1"/>
  <c r="G639" i="9" a="1"/>
  <c r="G640" i="9" a="1"/>
  <c r="G641" i="9" a="1"/>
  <c r="G642" i="9" a="1"/>
  <c r="G643" i="9" a="1"/>
  <c r="G644" i="9" a="1"/>
  <c r="G645" i="9" a="1"/>
  <c r="G646" i="9" a="1"/>
  <c r="G647" i="9" a="1"/>
  <c r="G648" i="9" a="1"/>
  <c r="G649" i="9" a="1"/>
  <c r="G650" i="9" a="1"/>
  <c r="G651" i="9" a="1"/>
  <c r="G652" i="9" a="1"/>
  <c r="G653" i="9" a="1"/>
  <c r="G654" i="9" a="1"/>
  <c r="G655" i="9" a="1"/>
  <c r="G656" i="9" a="1"/>
  <c r="G657" i="9" a="1"/>
  <c r="G658" i="9" a="1"/>
  <c r="G659" i="9" a="1"/>
  <c r="G660" i="9" a="1"/>
  <c r="G661" i="9" a="1"/>
  <c r="G662" i="9" a="1"/>
  <c r="G663" i="9" a="1"/>
  <c r="G664" i="9" a="1"/>
  <c r="G665" i="9" a="1"/>
  <c r="G666" i="9" a="1"/>
  <c r="G667" i="9" a="1"/>
  <c r="G668" i="9" a="1"/>
  <c r="G669" i="9" a="1"/>
  <c r="G670" i="9" a="1"/>
  <c r="G671" i="9" a="1"/>
  <c r="G672" i="9" a="1"/>
  <c r="G673" i="9" a="1"/>
  <c r="G674" i="9" a="1"/>
  <c r="G675" i="9" a="1"/>
  <c r="G676" i="9" a="1"/>
  <c r="G677" i="9" a="1"/>
  <c r="G678" i="9" a="1"/>
  <c r="G679" i="9" a="1"/>
  <c r="G680" i="9" a="1"/>
  <c r="G681" i="9" a="1"/>
  <c r="G682" i="9" a="1"/>
  <c r="G683" i="9" a="1"/>
  <c r="G684" i="9" a="1"/>
  <c r="G685" i="9" a="1"/>
  <c r="G686" i="9" a="1"/>
  <c r="G687" i="9" a="1"/>
  <c r="G688" i="9" a="1"/>
  <c r="G689" i="9" a="1"/>
  <c r="G690" i="9" a="1"/>
  <c r="G691" i="9" a="1"/>
  <c r="G692" i="9" a="1"/>
  <c r="G693" i="9" a="1"/>
  <c r="G694" i="9" a="1"/>
  <c r="G695" i="9" a="1"/>
  <c r="G696" i="9" a="1"/>
  <c r="G697" i="9" a="1"/>
  <c r="G698" i="9" a="1"/>
  <c r="G699" i="9" a="1"/>
  <c r="G700" i="9" a="1"/>
  <c r="G701" i="9" a="1"/>
  <c r="G702" i="9" a="1"/>
  <c r="G703" i="9" a="1"/>
  <c r="G704" i="9" a="1"/>
  <c r="G705" i="9" a="1"/>
  <c r="G706" i="9" a="1"/>
  <c r="G707" i="9" a="1"/>
  <c r="G708" i="9" a="1"/>
  <c r="G709" i="9" a="1"/>
  <c r="G710" i="9" a="1"/>
  <c r="G711" i="9" a="1"/>
  <c r="G712" i="9" a="1"/>
  <c r="G713" i="9" a="1"/>
  <c r="G714" i="9" a="1"/>
  <c r="G715" i="9" a="1"/>
  <c r="G716" i="9" a="1"/>
  <c r="G717" i="9" a="1"/>
  <c r="G718" i="9" a="1"/>
  <c r="G719" i="9" a="1"/>
  <c r="G720" i="9" a="1"/>
  <c r="G721" i="9" a="1"/>
  <c r="G722" i="9" a="1"/>
  <c r="G723" i="9" a="1"/>
  <c r="G724" i="9" a="1"/>
  <c r="G725" i="9" a="1"/>
  <c r="G726" i="9" a="1"/>
  <c r="G727" i="9" a="1"/>
  <c r="G728" i="9" a="1"/>
  <c r="G729" i="9" a="1"/>
  <c r="G730" i="9" a="1"/>
  <c r="G731" i="9" a="1"/>
  <c r="G732" i="9" a="1"/>
  <c r="G733" i="9" a="1"/>
  <c r="G734" i="9" a="1"/>
  <c r="G735" i="9" a="1"/>
  <c r="G736" i="9" a="1"/>
  <c r="G737" i="9" a="1"/>
  <c r="G738" i="9" a="1"/>
  <c r="G739" i="9" a="1"/>
  <c r="G740" i="9" a="1"/>
  <c r="G741" i="9" a="1"/>
  <c r="G742" i="9" a="1"/>
  <c r="G743" i="9" a="1"/>
  <c r="G744" i="9" a="1"/>
  <c r="G745" i="9" a="1"/>
  <c r="G746" i="9" a="1"/>
  <c r="G747" i="9" a="1"/>
  <c r="G748" i="9" a="1"/>
  <c r="G749" i="9" a="1"/>
  <c r="G750" i="9" a="1"/>
  <c r="G751" i="9" a="1"/>
  <c r="G752" i="9" a="1"/>
  <c r="G753" i="9" a="1"/>
  <c r="G754" i="9" a="1"/>
  <c r="G755" i="9" a="1"/>
  <c r="G7" i="9" a="1"/>
  <c r="G3" i="9" a="1"/>
  <c r="G4" i="9" a="1"/>
  <c r="G5" i="9" a="1"/>
  <c r="G6" i="9" a="1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2" i="9"/>
  <c r="N5" i="5" l="1"/>
  <c r="N6" i="5"/>
  <c r="N2" i="5"/>
  <c r="B10" i="5"/>
  <c r="B11" i="5"/>
  <c r="D2" i="5"/>
  <c r="C8" i="5"/>
  <c r="C9" i="5"/>
  <c r="E2" i="5"/>
  <c r="D8" i="5"/>
  <c r="D9" i="5"/>
  <c r="F2" i="5"/>
  <c r="G2" i="5"/>
  <c r="F9" i="5"/>
  <c r="F8" i="5"/>
  <c r="H2" i="5"/>
  <c r="G8" i="5"/>
  <c r="G9" i="5"/>
  <c r="I2" i="5"/>
  <c r="H8" i="5"/>
  <c r="H9" i="5"/>
  <c r="J2" i="5"/>
  <c r="I8" i="5"/>
  <c r="I9" i="5"/>
  <c r="K2" i="5"/>
  <c r="L2" i="5"/>
  <c r="K8" i="5"/>
  <c r="K9" i="5"/>
  <c r="M2" i="5"/>
  <c r="L9" i="5"/>
  <c r="L8" i="5"/>
  <c r="N7" i="5"/>
  <c r="M8" i="5"/>
  <c r="M9" i="5"/>
  <c r="B8" i="5"/>
  <c r="B9" i="5"/>
  <c r="C2" i="5"/>
  <c r="J9" i="5" l="1"/>
  <c r="J8" i="5"/>
  <c r="N10" i="5"/>
  <c r="N11" i="5"/>
  <c r="D10" i="5"/>
  <c r="D11" i="5"/>
  <c r="E11" i="5"/>
  <c r="E10" i="5"/>
  <c r="F10" i="5"/>
  <c r="F11" i="5"/>
  <c r="G11" i="5"/>
  <c r="G10" i="5"/>
  <c r="H11" i="5"/>
  <c r="H10" i="5"/>
  <c r="I11" i="5"/>
  <c r="I10" i="5"/>
  <c r="J10" i="5"/>
  <c r="J11" i="5"/>
  <c r="K10" i="5"/>
  <c r="K11" i="5"/>
  <c r="L11" i="5"/>
  <c r="L10" i="5"/>
  <c r="M11" i="5"/>
  <c r="M10" i="5"/>
  <c r="N8" i="5"/>
  <c r="N9" i="5"/>
  <c r="E8" i="5"/>
  <c r="E9" i="5"/>
  <c r="C11" i="5"/>
  <c r="C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<sst xmlns="http://schemas.openxmlformats.org/spreadsheetml/2006/main" count="7159" uniqueCount="280">
  <si>
    <t>Customer_ID</t>
  </si>
  <si>
    <t>Customer_Name</t>
  </si>
  <si>
    <t>Product</t>
  </si>
  <si>
    <t>Snapshot_Month</t>
  </si>
  <si>
    <t>ARR_USD</t>
  </si>
  <si>
    <t>C008</t>
  </si>
  <si>
    <t>Meridian Water Group</t>
  </si>
  <si>
    <t>analytics</t>
  </si>
  <si>
    <t>C026</t>
  </si>
  <si>
    <t>Cobalt Networks</t>
  </si>
  <si>
    <t>Analytics</t>
  </si>
  <si>
    <t>C010</t>
  </si>
  <si>
    <t xml:space="preserve">Pinecrest Property  </t>
  </si>
  <si>
    <t xml:space="preserve">Automation </t>
  </si>
  <si>
    <t>C024</t>
  </si>
  <si>
    <t>Willowbrook Care</t>
  </si>
  <si>
    <t>Core</t>
  </si>
  <si>
    <t>C009</t>
  </si>
  <si>
    <t>Ironclad Security</t>
  </si>
  <si>
    <t>C013</t>
  </si>
  <si>
    <t>Granite State Mechanical</t>
  </si>
  <si>
    <t>Automation</t>
  </si>
  <si>
    <t>C005</t>
  </si>
  <si>
    <t>Ridgeline HVAC</t>
  </si>
  <si>
    <t>C018</t>
  </si>
  <si>
    <t xml:space="preserve">Kestrel Telecom  </t>
  </si>
  <si>
    <t>C002</t>
  </si>
  <si>
    <t>Blue Harbor Logistics</t>
  </si>
  <si>
    <t>Core Platform</t>
  </si>
  <si>
    <t>C016</t>
  </si>
  <si>
    <t xml:space="preserve">Atlas Elevator Co  </t>
  </si>
  <si>
    <t>C011</t>
  </si>
  <si>
    <t>Summit Fire Protection</t>
  </si>
  <si>
    <t>C023</t>
  </si>
  <si>
    <t>Sandstone Roofing</t>
  </si>
  <si>
    <t>C033</t>
  </si>
  <si>
    <t>Halcyon Pharma</t>
  </si>
  <si>
    <t>C027</t>
  </si>
  <si>
    <t>Fairwind Marine</t>
  </si>
  <si>
    <t>C019</t>
  </si>
  <si>
    <t>Foundry Industrial</t>
  </si>
  <si>
    <t>C021</t>
  </si>
  <si>
    <t>Delta Refrigeration</t>
  </si>
  <si>
    <t>C012</t>
  </si>
  <si>
    <t>Harborview Plumbing</t>
  </si>
  <si>
    <t>Kestrel Telecom</t>
  </si>
  <si>
    <t>Atlas Elevator Co</t>
  </si>
  <si>
    <t>36000</t>
  </si>
  <si>
    <t>C014</t>
  </si>
  <si>
    <t>Lakeside Energy</t>
  </si>
  <si>
    <t>AUTOMATION</t>
  </si>
  <si>
    <t>C004</t>
  </si>
  <si>
    <t>Cedar Peak Utilities</t>
  </si>
  <si>
    <t>C020</t>
  </si>
  <si>
    <t>Maple Grove Maintenance</t>
  </si>
  <si>
    <t>C032</t>
  </si>
  <si>
    <t>Quartz Data Centers</t>
  </si>
  <si>
    <t>C028</t>
  </si>
  <si>
    <t>Everest Drilling</t>
  </si>
  <si>
    <t>Pinecrest Property</t>
  </si>
  <si>
    <t>C015</t>
  </si>
  <si>
    <t>Redwood Field Services</t>
  </si>
  <si>
    <t>C007</t>
  </si>
  <si>
    <t>Copperfield Electrical</t>
  </si>
  <si>
    <t xml:space="preserve">Everest Drilling  </t>
  </si>
  <si>
    <t>Analytics Add-On</t>
  </si>
  <si>
    <t>C030</t>
  </si>
  <si>
    <t>Beacon Environmental</t>
  </si>
  <si>
    <t>C029</t>
  </si>
  <si>
    <t>Silverline Rail</t>
  </si>
  <si>
    <t>C003</t>
  </si>
  <si>
    <t>Vertex Manufacturing</t>
  </si>
  <si>
    <t>C001</t>
  </si>
  <si>
    <t>Northwind Trading</t>
  </si>
  <si>
    <t>C006</t>
  </si>
  <si>
    <t>Sterling Facilities</t>
  </si>
  <si>
    <t xml:space="preserve">Redwood Field Services  </t>
  </si>
  <si>
    <t xml:space="preserve">Granite State Mechanical  </t>
  </si>
  <si>
    <t>C022</t>
  </si>
  <si>
    <t>Orion Building Systems</t>
  </si>
  <si>
    <t xml:space="preserve">Orion Building Systems  </t>
  </si>
  <si>
    <t xml:space="preserve">Halcyon Pharma  </t>
  </si>
  <si>
    <t>112000</t>
  </si>
  <si>
    <t>40000</t>
  </si>
  <si>
    <t>C031</t>
  </si>
  <si>
    <t>Timberline Landscaping</t>
  </si>
  <si>
    <t>70000</t>
  </si>
  <si>
    <t>C017</t>
  </si>
  <si>
    <t>Brightway Solar</t>
  </si>
  <si>
    <t>C034</t>
  </si>
  <si>
    <t>Riverbend Agriculture</t>
  </si>
  <si>
    <t>C025</t>
  </si>
  <si>
    <t>Trailhead Equipment</t>
  </si>
  <si>
    <t>22000</t>
  </si>
  <si>
    <t xml:space="preserve">Riverbend Agriculture  </t>
  </si>
  <si>
    <t>118000</t>
  </si>
  <si>
    <t xml:space="preserve">Harborview Plumbing  </t>
  </si>
  <si>
    <t xml:space="preserve">Fairwind Marine  </t>
  </si>
  <si>
    <t>44000</t>
  </si>
  <si>
    <t xml:space="preserve">Brightway Solar  </t>
  </si>
  <si>
    <t>C036</t>
  </si>
  <si>
    <t>Pentland Ports</t>
  </si>
  <si>
    <t xml:space="preserve">Trailhead Equipment  </t>
  </si>
  <si>
    <t xml:space="preserve">Maple Grove Maintenance  </t>
  </si>
  <si>
    <t xml:space="preserve">Ironclad Security  </t>
  </si>
  <si>
    <t>17000</t>
  </si>
  <si>
    <t xml:space="preserve">Vertex Manufacturing  </t>
  </si>
  <si>
    <t xml:space="preserve">Northwind Trading  </t>
  </si>
  <si>
    <t>9000</t>
  </si>
  <si>
    <t>155000</t>
  </si>
  <si>
    <t>25000</t>
  </si>
  <si>
    <t>C035</t>
  </si>
  <si>
    <t>Onyx Waste Solutions</t>
  </si>
  <si>
    <t xml:space="preserve">Meridian Water Group  </t>
  </si>
  <si>
    <t>27000</t>
  </si>
  <si>
    <t xml:space="preserve">Cobalt Networks  </t>
  </si>
  <si>
    <t>19000</t>
  </si>
  <si>
    <t>10000</t>
  </si>
  <si>
    <t xml:space="preserve">Cedar Peak Utilities  </t>
  </si>
  <si>
    <t xml:space="preserve">Lakeside Energy  </t>
  </si>
  <si>
    <t xml:space="preserve">Delta Refrigeration  </t>
  </si>
  <si>
    <t xml:space="preserve">Sterling Facilities  </t>
  </si>
  <si>
    <t>45000</t>
  </si>
  <si>
    <t>23000</t>
  </si>
  <si>
    <t>120000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</si>
  <si>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</si>
  <si>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</si>
  <si>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</si>
  <si>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</si>
  <si>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</si>
  <si>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</si>
  <si>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</si>
  <si>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</si>
  <si>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</si>
  <si>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</si>
  <si>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</si>
  <si>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</si>
  <si>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New Bookings ARR</t>
  </si>
  <si>
    <t>Closed Won</t>
  </si>
  <si>
    <t>Opportunities</t>
  </si>
  <si>
    <t>SQL</t>
  </si>
  <si>
    <t>MQL</t>
  </si>
  <si>
    <t>Period</t>
  </si>
  <si>
    <t>Dec-25</t>
  </si>
  <si>
    <t>Nov-25</t>
  </si>
  <si>
    <t>Oct-25</t>
  </si>
  <si>
    <t>Sep-25</t>
  </si>
  <si>
    <t>Aug-25</t>
  </si>
  <si>
    <t>Jul-25</t>
  </si>
  <si>
    <t>Jun-25</t>
  </si>
  <si>
    <t>May-25</t>
  </si>
  <si>
    <t>Apr-25</t>
  </si>
  <si>
    <t>Mar-25</t>
  </si>
  <si>
    <t>Feb-25</t>
  </si>
  <si>
    <t>Jan-25</t>
  </si>
  <si>
    <t>Opps Created</t>
  </si>
  <si>
    <t>SQLs</t>
  </si>
  <si>
    <t>MQLs</t>
  </si>
  <si>
    <t>Month</t>
  </si>
  <si>
    <t>Customer_Name_Cleaned</t>
  </si>
  <si>
    <t>Product_Cleaned</t>
  </si>
  <si>
    <t>"Identified an exact duplicate export row for June-25 in the raw data. Deduplicated to 12 distinct reporting months; failure to deduplicate would have distorted full-year bookings by +$190,000 and 6 won deals."</t>
  </si>
  <si>
    <t>MQLs_Reported</t>
  </si>
  <si>
    <t>MQLs_Adjusted</t>
  </si>
  <si>
    <t>Opps_Reported</t>
  </si>
  <si>
    <t>Opps_Adjusted</t>
  </si>
  <si>
    <t>MQL Attainment %</t>
  </si>
  <si>
    <t>SQL Attainment %</t>
  </si>
  <si>
    <t>Opps Attainment %</t>
  </si>
  <si>
    <t>Won Deals Attainment %</t>
  </si>
  <si>
    <t>Bookings ARR Attainment %</t>
  </si>
  <si>
    <t>Conv MQL → SQL</t>
  </si>
  <si>
    <t>Conv SQL → Opp</t>
  </si>
  <si>
    <t>Conv Opp → Won</t>
  </si>
  <si>
    <t>Total FY 2025</t>
  </si>
  <si>
    <t>Executive Commentary — GTM Funnel vs Plan (FY 2025)</t>
  </si>
  <si>
    <t>Top-of-funnel velocity expanded strongly in H2 (+34% MQLs in Q4 vs Q1), but downstream efficiency softened.</t>
  </si>
  <si>
    <t>1. Overall Performance:</t>
  </si>
  <si>
    <t>The GTM motion finished the year ahead of plan on revenue, delivering 101.5% attainment in New Bookings ARR ($2,665,000 vs $2,625,000 target; a +$40k beat).</t>
  </si>
  <si>
    <t>Sales qualification exceeded plan with 103.3% SQL attainment (442 actual vs 428 target), closing 74 deals against a 75-deal target (98.7% deal count attainment).</t>
  </si>
  <si>
    <t>2. Funnel Dynamics &amp; H2 Bottleneck:</t>
  </si>
  <si>
    <t>3. Data Hygiene &amp; Methodological Adjustments:</t>
  </si>
  <si>
    <t>June Duplicate Record: Identified and removed an identical duplicate export row for June-25 in the raw file. Failing to deduplicate would have distorted full-year bookings by +$190,000 and 6 phantom deals.</t>
  </si>
  <si>
    <t>March MQL Outlier (820 vs 88 Target): Identified an apparent clerical zero-typo. Normalizing to 82 MQLs restores MQL $\rightarrow$ SQL conversion to an on-trend 39.0% (vs a collapsed 3.9% under the unadjusted 820 leads). Both reported and normalized views are maintained for governance.</t>
  </si>
  <si>
    <t>August Missing Opportunities (NaN): Handled missing CRM stage logging by wrapping formulas in SI.ERROR to eliminate #¡DIV/0! errors. Imputed 24 opportunities based on the historical 60% SQL -&gt; Opp baseline, yielding an annualized opportunity attainment of 99.6% (264 normalized vs 240 raw)</t>
  </si>
  <si>
    <t>Stage conversion from Opp -&gt; Won compressed from a peak of 35.0% in July down to ~26% in September–October. This indicates account executive capacity constraints or looser late-stage qualification criteria as volume surged toward year-end.</t>
  </si>
  <si>
    <t>Etiquetas de fila</t>
  </si>
  <si>
    <t>Total general</t>
  </si>
  <si>
    <t>Etiquetas de columna</t>
  </si>
  <si>
    <t>Suma de ARR_USD</t>
  </si>
  <si>
    <t>ARR Metric (in USD)</t>
  </si>
  <si>
    <t>Starting ARR</t>
  </si>
  <si>
    <t>(+) New ARR</t>
  </si>
  <si>
    <t>(+) Expansion ARR</t>
  </si>
  <si>
    <t>(-) Contraction ARR</t>
  </si>
  <si>
    <t>(-) Churn ARR</t>
  </si>
  <si>
    <t>Ending ARR</t>
  </si>
  <si>
    <t>Net New ARR</t>
  </si>
  <si>
    <t>Tie Check</t>
  </si>
  <si>
    <t>Monthly NRR %</t>
  </si>
  <si>
    <t>Monthly GRR %</t>
  </si>
  <si>
    <t>Monthly New ARR</t>
  </si>
  <si>
    <t>Monthly Expansion ARR</t>
  </si>
  <si>
    <t>Monthly Contraction ARR</t>
  </si>
  <si>
    <t>Monthly Churn ARR</t>
  </si>
  <si>
    <t>Product Mix (% of Total ARR)</t>
  </si>
  <si>
    <t>Core Platform %</t>
  </si>
  <si>
    <t>Analytics %</t>
  </si>
  <si>
    <t>Automation %</t>
  </si>
  <si>
    <t>Total Mix</t>
  </si>
  <si>
    <t>Executive Commentary — ARR Book Dynamics &amp; Product Mix Evolution (FY 2025)</t>
  </si>
  <si>
    <t>1. Portfolio Expansion:</t>
  </si>
  <si>
    <t>The ARR book expanded by +91.7% year-over-year from $1,926,000 to $3,692,000 (+$1,766,000 net new ARR), demonstrating balanced growth between new logo acquisition ($1,255,000 New ARR) and customer expansion ($791,000 Expansion ARR).</t>
  </si>
  <si>
    <t>2. Mix Shift Toward High-Value Add-Ons:</t>
  </si>
  <si>
    <t>While Core Platform remains the revenue anchor ($2.65M), its share of total ARR decreased from 81.2% to 71.7%.</t>
  </si>
  <si>
    <t>Growth was heavily fueled by add-on cross-sells: Automation grew 4.6x ($83k to $384k), increasing its portfolio share from 4.3% to 10.4%, while Analytics more than doubled ($280k to $659k, reaching 17.8% of the book).</t>
  </si>
  <si>
    <t>3. Retention &amp; Churn Governance Flag:</t>
  </si>
  <si>
    <t>Retention was strong with a full-year cohort Net Revenue Retention (NRR) of 126.3% on the opening book.</t>
  </si>
  <si>
    <t>Key Leadership Flag: Churn of $237,000 occurred exclusively on the first month of quarterly renewal cycles (April: $87k, July: $77k, October: $73k). We recommend implementing a 90-day proactive Customer Success renewal cadence to mitigate recurring quarterly drop-offs.</t>
  </si>
  <si>
    <t>Senior Revenue Operations Analyst Assessment — Executive Briefing</t>
  </si>
  <si>
    <t>Part 1: ARR Snowball Dynamics &amp; Product Mix Evolution</t>
  </si>
  <si>
    <t>Part 2: GTM Funnel Attainment &amp; Conversion Velocity</t>
  </si>
  <si>
    <t>Executive KPI Summary Card</t>
  </si>
  <si>
    <t>Core RevOps Metric</t>
  </si>
  <si>
    <t>Dec-2024 (Start)</t>
  </si>
  <si>
    <t>Dec-2025 (End)</t>
  </si>
  <si>
    <t>FY 2025 Performance</t>
  </si>
  <si>
    <t>Total Active ARR</t>
  </si>
  <si>
    <t>+$1,766,000 (+91.7%)</t>
  </si>
  <si>
    <t>New Logo ARR</t>
  </si>
  <si>
    <t>—</t>
  </si>
  <si>
    <t>Expansion ARR</t>
  </si>
  <si>
    <t>Total Churn ARR</t>
  </si>
  <si>
    <t>New Bookings ARR Plan Attainment</t>
  </si>
  <si>
    <t>SQL Plan Attainment</t>
  </si>
  <si>
    <t>Core Platform Mix %</t>
  </si>
  <si>
    <t>-9.5 pts (share ceded to add-ons)</t>
  </si>
  <si>
    <t>Analytics Mix %</t>
  </si>
  <si>
    <t>+3.3 pts (+$379k ARR)</t>
  </si>
  <si>
    <t>Automation Mix %</t>
  </si>
  <si>
    <t>+6.1 pts (+4.6x ARR growth)</t>
  </si>
  <si>
    <t>Cohort Annual NRR</t>
  </si>
  <si>
    <t>Snowball Math Status</t>
  </si>
  <si>
    <t>100% TIED across all 12 months</t>
  </si>
  <si>
    <t>Reporting Period: FY 2025 (Dec-24 Opening Snapshot to Dec-25 Closing Snapshot)</t>
  </si>
  <si>
    <t>Deliverables Covered: Part 1 (ARR Snowball &amp; Product Mix) &amp; Part 2 (GTM Funnel vs Plan)</t>
  </si>
  <si>
    <t>1. Topline Portfolio Expansion (+91.7% YoY):</t>
  </si>
  <si>
    <t>Annual Recurring Revenue (ARR) grew from $1,926,000 (Dec-24) to $3,692,000 (Dec-25), delivering +$1,766,000 in Net New ARR.</t>
  </si>
  <si>
    <t>Growth was well-balanced between aggressive new logo acquisition ($1,255,000 in New ARR across 15 new accounts) and existing customer upsell/cross-sell ($791,000 in Expansion ARR).</t>
  </si>
  <si>
    <t>2. Product Mix Shift Toward High-Velocity Add-Ons:</t>
  </si>
  <si>
    <t>Core Platform remains the foundation of the business, expanding from $1.56M to $2.65M (+69.5%), but its portfolio share contracted from 81.2% to 71.7% as add-ons outpaced core growth.</t>
  </si>
  <si>
    <t>Automation demonstrated exceptional product-market fit: ARR grew 4.6x from $83,000 to $384,000 (+362.7%), expanding its portfolio share from 4.3% to 10.4%.</t>
  </si>
  <si>
    <t>Analytics more than doubled: ARR expanded from $280,000 to $659,000 (+135.4%), climbing from 14.5% to 17.8% of the book.</t>
  </si>
  <si>
    <t>3. Retention Framing &amp; Quarterly Churn Rhythm:</t>
  </si>
  <si>
    <t>Net Revenue Retention (NRR): Averaged 101.8% monthly, with a full-year cohort NRR of 126.3% on the retained customer base.</t>
  </si>
  <si>
    <t>Gross Revenue Retention (GRR): Remained above 96.5% monthly, finishing at 85.5% annually.</t>
  </si>
  <si>
    <t>Key Leadership Flag (Renewal Cadence): Total churn of $237,000 occurred exclusively at the start of quarters (April: $87k, July: $77k, October: $73k), with zero churn in all other months. This signals that contracts are tied to quarterly renewal dates; we recommend deploying a 90-day proactive Customer Success renewal playbook to pre-empt recurring quarterly drop-offs.</t>
  </si>
  <si>
    <t>4. Data Hygiene Resolved in ARR Data:</t>
  </si>
  <si>
    <t>Standardized casing and product aliases (analytics, Analytics Add-On, Automation , AUTOMATION, Core) into 3 unified product lines.</t>
  </si>
  <si>
    <t>Cleaned trailing whitespace across 23 customer records (TRIM).</t>
  </si>
  <si>
    <t>Deduplicated 6 exact duplicate rows in the raw export, preventing a false ARR overstatement of $139,000.</t>
  </si>
  <si>
    <t>Corrected customer C012 September Analytics license stored as text (22000), restoring true book reconciliation.</t>
  </si>
  <si>
    <t>1. FY 2025 Target Attainment Summary:</t>
  </si>
  <si>
    <t>New Bookings ARR: 101.5% attainment ($2,665,000 actual vs $2,625,000 plan) — exceeding the revenue plan by +$40,000.</t>
  </si>
  <si>
    <t>Sales Qualified Leads (SQLs): 103.3% attainment (442 actual vs 428 plan) — outperforming pipeline generation targets.</t>
  </si>
  <si>
    <t>Closed Won Deals: 98.7% attainment (74 deals closed vs 75 planned).</t>
  </si>
  <si>
    <t>Marketing Qualified Leads (MQLs): 99.3% attainment (1,216 normalized actual vs 1,224 plan).</t>
  </si>
  <si>
    <t>2. Downstream Conversion Bottlenecks in H2:</t>
  </si>
  <si>
    <t>Top-of-funnel MQL generation accelerated significantly in H2 (+34% in Q4 vs Q1), but downstream sales efficiency softened.</t>
  </si>
  <si>
    <t>Opp $\rightarrow$ Won Win Rate dropped from a peak of 35.0% in July down to ~26% in September–October.</t>
  </si>
  <si>
    <t>Operational Takeaway: The sales team experienced capacity strain as lead volume swelled toward year-end, leading to looser late-stage opportunity qualification. RevOps should partner with Sales Leadership to tighten Stage 2 exit criteria.</t>
  </si>
  <si>
    <t>3. Data Hygiene Resolved in Funnel Actuals:</t>
  </si>
  <si>
    <t>June Duplicate Record: Discovered and removed an exact duplicate export row for June-25. Deduplicating restored the true 12-month fiscal calendar, eliminating +$190,000 and 6 duplicate won deals.</t>
  </si>
  <si>
    <t>March MQL Outlier (820 vs 88 Plan): Evaluated as a clerical zero-typo. Normalizing to 82 MQLs restores MQL $\rightarrow$ SQL conversion to an on-trend 39.0% (vs a distorted 3.9%). Both reported and adjusted views are displayed for full governance.</t>
  </si>
  <si>
    <t>August Missing Opportunities (NaN): Handled missing CRM stage logging using SI.ERROR to eliminate #¡DIV/0! errors. Imputed 24 opportunities based on historical 60% SQL $\rightarrow$ Opp conversion, bringing normalized full-year opportunity attainment to 99.6% (264 normalized vs 240 raw).</t>
  </si>
  <si>
    <t>$1,255,000 (15 new accounts)</t>
  </si>
  <si>
    <t>$791,000 (existing accounts)</t>
  </si>
  <si>
    <t>($237,000) (3 quarterly accounts)</t>
  </si>
  <si>
    <t>101.5% ($2.67M vs $2.63M plan)</t>
  </si>
  <si>
    <t>103.3% (442 vs 428 plan)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</si>
</sst>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yyyy\-mm\-dd\ hh:mm:ss"/>
    <numFmt numFmtId="171" formatCode="0.0%"/>
    <numFmt numFmtId="172" formatCode="&quot;$&quot;#,##0.0"/>
    <numFmt numFmtId="174" formatCode="_(&quot;$&quot;* #,##0.0_);_(&quot;$&quot;* \(#,##0.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0" xfId="0" applyNumberFormat="1"/>
    <xf numFmtId="171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72" fontId="0" fillId="0" borderId="0" xfId="0" applyNumberFormat="1"/>
    <xf numFmtId="6" fontId="0" fillId="0" borderId="0" xfId="0" applyNumberFormat="1"/>
    <xf numFmtId="10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/>
    </xf>
    <xf numFmtId="0" fontId="0" fillId="0" borderId="1" xfId="0" applyBorder="1"/>
    <xf numFmtId="171" fontId="0" fillId="0" borderId="1" xfId="2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72" fontId="0" fillId="0" borderId="1" xfId="0" applyNumberFormat="1" applyBorder="1"/>
    <xf numFmtId="171" fontId="0" fillId="0" borderId="1" xfId="2" applyNumberFormat="1" applyFont="1" applyBorder="1" applyAlignment="1">
      <alignment horizontal="right"/>
    </xf>
    <xf numFmtId="171" fontId="3" fillId="0" borderId="1" xfId="2" applyNumberFormat="1" applyFont="1" applyBorder="1" applyAlignment="1">
      <alignment horizontal="right"/>
    </xf>
    <xf numFmtId="174" fontId="0" fillId="0" borderId="1" xfId="1" applyNumberFormat="1" applyFont="1" applyBorder="1"/>
    <xf numFmtId="174" fontId="0" fillId="0" borderId="1" xfId="0" applyNumberFormat="1" applyBorder="1"/>
    <xf numFmtId="9" fontId="0" fillId="0" borderId="1" xfId="2" applyFont="1" applyBorder="1"/>
  </cellXfs>
  <cellStyles count="3">
    <cellStyle name="Moneda" xfId="1" builtinId="4"/>
    <cellStyle name="Normal" xfId="0" builtinId="0"/>
    <cellStyle name="Porcentaje" xfId="2" builtinId="5"/>
  </cellStyles>
  <dxfs count="2">
    <dxf>
      <numFmt numFmtId="14" formatCode="0.0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o Gutierrez" refreshedDate="46280.637312500003" createdVersion="8" refreshedVersion="8" minRefreshableVersion="3" recordCount="754" xr:uid="{01A8FB91-94EF-4816-9D8C-142A724A9449}">
  <cacheSource type="worksheet">
    <worksheetSource ref="A1:G755" sheet="Clean_ARR_Data"/>
  </cacheSource>
  <cacheFields count="7">
    <cacheField name="Customer_ID" numFmtId="0">
      <sharedItems count="36">
        <s v="C008"/>
        <s v="C026"/>
        <s v="C010"/>
        <s v="C024"/>
        <s v="C009"/>
        <s v="C013"/>
        <s v="C005"/>
        <s v="C018"/>
        <s v="C002"/>
        <s v="C016"/>
        <s v="C011"/>
        <s v="C023"/>
        <s v="C033"/>
        <s v="C027"/>
        <s v="C019"/>
        <s v="C021"/>
        <s v="C012"/>
        <s v="C014"/>
        <s v="C004"/>
        <s v="C020"/>
        <s v="C032"/>
        <s v="C028"/>
        <s v="C015"/>
        <s v="C007"/>
        <s v="C030"/>
        <s v="C029"/>
        <s v="C003"/>
        <s v="C001"/>
        <s v="C006"/>
        <s v="C022"/>
        <s v="C031"/>
        <s v="C017"/>
        <s v="C034"/>
        <s v="C025"/>
        <s v="C036"/>
        <s v="C035"/>
      </sharedItems>
    </cacheField>
    <cacheField name="Customer_Name" numFmtId="0">
      <sharedItems/>
    </cacheField>
    <cacheField name="Product" numFmtId="0">
      <sharedItems/>
    </cacheField>
    <cacheField name="Snapshot_Month" numFmtId="164">
      <sharedItems containsSemiMixedTypes="0" containsNonDate="0" containsDate="1" containsString="0" minDate="2024-12-01T00:00:00" maxDate="2025-12-02T00:00:00" count="13">
        <d v="2025-09-01T00:00:00"/>
        <d v="2025-12-01T00:00:00"/>
        <d v="2025-10-01T00:00:00"/>
        <d v="2025-08-01T00:00:00"/>
        <d v="2025-07-01T00:00:00"/>
        <d v="2025-04-01T00:00:00"/>
        <d v="2025-11-01T00:00:00"/>
        <d v="2025-03-01T00:00:00"/>
        <d v="2025-05-01T00:00:00"/>
        <d v="2024-12-01T00:00:00"/>
        <d v="2025-06-01T00:00:00"/>
        <d v="2025-01-01T00:00:00"/>
        <d v="2025-02-01T00:00:00"/>
      </sharedItems>
    </cacheField>
    <cacheField name="ARR_USD" numFmtId="0">
      <sharedItems containsSemiMixedTypes="0" containsString="0" containsNumber="1" containsInteger="1" minValue="8000" maxValue="155000"/>
    </cacheField>
    <cacheField name="Customer_Name_Cleaned" numFmtId="0">
      <sharedItems count="36">
        <s v="Meridian Water Group"/>
        <s v="Cobalt Networks"/>
        <s v="Pinecrest Property"/>
        <s v="Willowbrook Care"/>
        <s v="Ironclad Security"/>
        <s v="Granite State Mechanical"/>
        <s v="Ridgeline HVAC"/>
        <s v="Kestrel Telecom"/>
        <s v="Blue Harbor Logistics"/>
        <s v="Atlas Elevator Co"/>
        <s v="Summit Fire Protection"/>
        <s v="Sandstone Roofing"/>
        <s v="Halcyon Pharma"/>
        <s v="Fairwind Marine"/>
        <s v="Foundry Industrial"/>
        <s v="Delta Refrigeration"/>
        <s v="Harborview Plumbing"/>
        <s v="Lakeside Energy"/>
        <s v="Cedar Peak Utilities"/>
        <s v="Maple Grove Maintenance"/>
        <s v="Quartz Data Centers"/>
        <s v="Everest Drilling"/>
        <s v="Redwood Field Services"/>
        <s v="Copperfield Electrical"/>
        <s v="Beacon Environmental"/>
        <s v="Silverline Rail"/>
        <s v="Vertex Manufacturing"/>
        <s v="Northwind Trading"/>
        <s v="Sterling Facilities"/>
        <s v="Orion Building Systems"/>
        <s v="Timberline Landscaping"/>
        <s v="Brightway Solar"/>
        <s v="Riverbend Agriculture"/>
        <s v="Trailhead Equipment"/>
        <s v="Pentland Ports"/>
        <s v="Onyx Waste Solutions"/>
      </sharedItems>
    </cacheField>
    <cacheField name="Product_Cleaned" numFmtId="0">
      <sharedItems count="3">
        <s v="Analytics"/>
        <s v="Automation"/>
        <s v="Core Platfor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4">
  <r>
    <x v="0"/>
    <s v="Meridian Water Group"/>
    <s v="analytics"/>
    <x v="0"/>
    <n v="24000"/>
    <x v="0"/>
    <x v="0"/>
  </r>
  <r>
    <x v="1"/>
    <s v="Cobalt Networks"/>
    <s v="analytics"/>
    <x v="1"/>
    <n v="35000"/>
    <x v="1"/>
    <x v="0"/>
  </r>
  <r>
    <x v="2"/>
    <s v="Pinecrest Property  "/>
    <s v="Automation "/>
    <x v="2"/>
    <n v="27000"/>
    <x v="2"/>
    <x v="1"/>
  </r>
  <r>
    <x v="3"/>
    <s v="Willowbrook Care"/>
    <s v="Core"/>
    <x v="3"/>
    <n v="79000"/>
    <x v="3"/>
    <x v="2"/>
  </r>
  <r>
    <x v="4"/>
    <s v="Ironclad Security"/>
    <s v="analytics"/>
    <x v="1"/>
    <n v="45000"/>
    <x v="4"/>
    <x v="0"/>
  </r>
  <r>
    <x v="5"/>
    <s v="Granite State Mechanical"/>
    <s v="Automation"/>
    <x v="4"/>
    <n v="10000"/>
    <x v="5"/>
    <x v="1"/>
  </r>
  <r>
    <x v="6"/>
    <s v="Ridgeline HVAC"/>
    <s v="analytics"/>
    <x v="3"/>
    <n v="15000"/>
    <x v="6"/>
    <x v="0"/>
  </r>
  <r>
    <x v="7"/>
    <s v="Kestrel Telecom  "/>
    <s v="analytics"/>
    <x v="5"/>
    <n v="38000"/>
    <x v="7"/>
    <x v="0"/>
  </r>
  <r>
    <x v="8"/>
    <s v="Blue Harbor Logistics"/>
    <s v="Core Platform"/>
    <x v="6"/>
    <n v="72000"/>
    <x v="8"/>
    <x v="2"/>
  </r>
  <r>
    <x v="9"/>
    <s v="Atlas Elevator Co  "/>
    <s v="analytics"/>
    <x v="7"/>
    <n v="36000"/>
    <x v="9"/>
    <x v="0"/>
  </r>
  <r>
    <x v="10"/>
    <s v="Summit Fire Protection"/>
    <s v="Core Platform"/>
    <x v="8"/>
    <n v="77000"/>
    <x v="10"/>
    <x v="2"/>
  </r>
  <r>
    <x v="4"/>
    <s v="Ironclad Security"/>
    <s v="Automation"/>
    <x v="9"/>
    <n v="8000"/>
    <x v="4"/>
    <x v="1"/>
  </r>
  <r>
    <x v="11"/>
    <s v="Sandstone Roofing"/>
    <s v="Core Platform"/>
    <x v="1"/>
    <n v="66000"/>
    <x v="11"/>
    <x v="2"/>
  </r>
  <r>
    <x v="12"/>
    <s v="Halcyon Pharma"/>
    <s v="analytics"/>
    <x v="2"/>
    <n v="13000"/>
    <x v="12"/>
    <x v="0"/>
  </r>
  <r>
    <x v="13"/>
    <s v="Fairwind Marine"/>
    <s v="analytics"/>
    <x v="1"/>
    <n v="19000"/>
    <x v="13"/>
    <x v="0"/>
  </r>
  <r>
    <x v="14"/>
    <s v="Foundry Industrial"/>
    <s v="Core Platform"/>
    <x v="5"/>
    <n v="60000"/>
    <x v="14"/>
    <x v="2"/>
  </r>
  <r>
    <x v="15"/>
    <s v="Delta Refrigeration"/>
    <s v="Automation"/>
    <x v="1"/>
    <n v="22000"/>
    <x v="15"/>
    <x v="1"/>
  </r>
  <r>
    <x v="16"/>
    <s v="Harborview Plumbing"/>
    <s v="Core Platform"/>
    <x v="10"/>
    <n v="70000"/>
    <x v="16"/>
    <x v="2"/>
  </r>
  <r>
    <x v="5"/>
    <s v="Granite State Mechanical"/>
    <s v="analytics"/>
    <x v="11"/>
    <n v="30000"/>
    <x v="5"/>
    <x v="0"/>
  </r>
  <r>
    <x v="7"/>
    <s v="Kestrel Telecom"/>
    <s v="Core"/>
    <x v="0"/>
    <n v="100000"/>
    <x v="7"/>
    <x v="2"/>
  </r>
  <r>
    <x v="15"/>
    <s v="Delta Refrigeration"/>
    <s v="Core"/>
    <x v="3"/>
    <n v="102000"/>
    <x v="15"/>
    <x v="2"/>
  </r>
  <r>
    <x v="9"/>
    <s v="Atlas Elevator Co"/>
    <s v="analytics"/>
    <x v="6"/>
    <n v="36000"/>
    <x v="9"/>
    <x v="0"/>
  </r>
  <r>
    <x v="0"/>
    <s v="Meridian Water Group"/>
    <s v="analytics"/>
    <x v="6"/>
    <n v="24000"/>
    <x v="0"/>
    <x v="0"/>
  </r>
  <r>
    <x v="5"/>
    <s v="Granite State Mechanical"/>
    <s v="Automation"/>
    <x v="5"/>
    <n v="10000"/>
    <x v="5"/>
    <x v="1"/>
  </r>
  <r>
    <x v="9"/>
    <s v="Atlas Elevator Co"/>
    <s v="Core"/>
    <x v="4"/>
    <n v="60000"/>
    <x v="9"/>
    <x v="2"/>
  </r>
  <r>
    <x v="17"/>
    <s v="Lakeside Energy"/>
    <s v="analytics"/>
    <x v="0"/>
    <n v="26000"/>
    <x v="17"/>
    <x v="0"/>
  </r>
  <r>
    <x v="17"/>
    <s v="Lakeside Energy"/>
    <s v="Automation"/>
    <x v="8"/>
    <n v="11000"/>
    <x v="17"/>
    <x v="1"/>
  </r>
  <r>
    <x v="17"/>
    <s v="Lakeside Energy"/>
    <s v="Automation"/>
    <x v="7"/>
    <n v="11000"/>
    <x v="17"/>
    <x v="1"/>
  </r>
  <r>
    <x v="16"/>
    <s v="Harborview Plumbing"/>
    <s v="Core Platform"/>
    <x v="11"/>
    <n v="70000"/>
    <x v="16"/>
    <x v="2"/>
  </r>
  <r>
    <x v="18"/>
    <s v="Cedar Peak Utilities"/>
    <s v="Automation "/>
    <x v="7"/>
    <n v="21000"/>
    <x v="18"/>
    <x v="1"/>
  </r>
  <r>
    <x v="19"/>
    <s v="Maple Grove Maintenance"/>
    <s v="analytics"/>
    <x v="9"/>
    <n v="31000"/>
    <x v="19"/>
    <x v="0"/>
  </r>
  <r>
    <x v="0"/>
    <s v="Meridian Water Group"/>
    <s v="Core Platform"/>
    <x v="3"/>
    <n v="97000"/>
    <x v="0"/>
    <x v="2"/>
  </r>
  <r>
    <x v="16"/>
    <s v="Harborview Plumbing"/>
    <s v="Core Platform"/>
    <x v="5"/>
    <n v="70000"/>
    <x v="16"/>
    <x v="2"/>
  </r>
  <r>
    <x v="1"/>
    <s v="Cobalt Networks"/>
    <s v="analytics"/>
    <x v="6"/>
    <n v="35000"/>
    <x v="1"/>
    <x v="0"/>
  </r>
  <r>
    <x v="17"/>
    <s v="Lakeside Energy"/>
    <s v="Automation"/>
    <x v="0"/>
    <n v="11000"/>
    <x v="17"/>
    <x v="1"/>
  </r>
  <r>
    <x v="20"/>
    <s v="Quartz Data Centers"/>
    <s v="Core Platform"/>
    <x v="2"/>
    <n v="87000"/>
    <x v="20"/>
    <x v="2"/>
  </r>
  <r>
    <x v="4"/>
    <s v="Ironclad Security"/>
    <s v="Core"/>
    <x v="2"/>
    <n v="90000"/>
    <x v="4"/>
    <x v="2"/>
  </r>
  <r>
    <x v="14"/>
    <s v="Foundry Industrial"/>
    <s v="Core Platform"/>
    <x v="6"/>
    <n v="60000"/>
    <x v="14"/>
    <x v="2"/>
  </r>
  <r>
    <x v="19"/>
    <s v="Maple Grove Maintenance"/>
    <s v="Core Platform"/>
    <x v="8"/>
    <n v="63000"/>
    <x v="19"/>
    <x v="2"/>
  </r>
  <r>
    <x v="5"/>
    <s v="Granite State Mechanical"/>
    <s v="Automation "/>
    <x v="1"/>
    <n v="10000"/>
    <x v="5"/>
    <x v="1"/>
  </r>
  <r>
    <x v="18"/>
    <s v="Cedar Peak Utilities"/>
    <s v="Core"/>
    <x v="7"/>
    <n v="44000"/>
    <x v="18"/>
    <x v="2"/>
  </r>
  <r>
    <x v="21"/>
    <s v="Everest Drilling"/>
    <s v="Core Platform"/>
    <x v="2"/>
    <n v="52000"/>
    <x v="21"/>
    <x v="2"/>
  </r>
  <r>
    <x v="9"/>
    <s v="Atlas Elevator Co"/>
    <s v="Core"/>
    <x v="1"/>
    <n v="72000"/>
    <x v="9"/>
    <x v="2"/>
  </r>
  <r>
    <x v="2"/>
    <s v="Pinecrest Property"/>
    <s v="Automation"/>
    <x v="1"/>
    <n v="27000"/>
    <x v="2"/>
    <x v="1"/>
  </r>
  <r>
    <x v="22"/>
    <s v="Redwood Field Services"/>
    <s v="Automation"/>
    <x v="10"/>
    <n v="18000"/>
    <x v="22"/>
    <x v="1"/>
  </r>
  <r>
    <x v="7"/>
    <s v="Kestrel Telecom"/>
    <s v="Automation"/>
    <x v="3"/>
    <n v="22000"/>
    <x v="7"/>
    <x v="1"/>
  </r>
  <r>
    <x v="6"/>
    <s v="Ridgeline HVAC"/>
    <s v="Core"/>
    <x v="7"/>
    <n v="111000"/>
    <x v="6"/>
    <x v="2"/>
  </r>
  <r>
    <x v="11"/>
    <s v="Sandstone Roofing"/>
    <s v="Core"/>
    <x v="10"/>
    <n v="66000"/>
    <x v="11"/>
    <x v="2"/>
  </r>
  <r>
    <x v="11"/>
    <s v="Sandstone Roofing"/>
    <s v="analytics"/>
    <x v="4"/>
    <n v="17000"/>
    <x v="11"/>
    <x v="0"/>
  </r>
  <r>
    <x v="22"/>
    <s v="Redwood Field Services"/>
    <s v="Core"/>
    <x v="11"/>
    <n v="35000"/>
    <x v="22"/>
    <x v="2"/>
  </r>
  <r>
    <x v="5"/>
    <s v="Granite State Mechanical"/>
    <s v="Automation"/>
    <x v="0"/>
    <n v="10000"/>
    <x v="5"/>
    <x v="1"/>
  </r>
  <r>
    <x v="23"/>
    <s v="Copperfield Electrical"/>
    <s v="Core"/>
    <x v="0"/>
    <n v="36000"/>
    <x v="23"/>
    <x v="2"/>
  </r>
  <r>
    <x v="5"/>
    <s v="Granite State Mechanical"/>
    <s v="Core Platform"/>
    <x v="12"/>
    <n v="79000"/>
    <x v="5"/>
    <x v="2"/>
  </r>
  <r>
    <x v="21"/>
    <s v="Everest Drilling  "/>
    <s v="Analytics Add-On"/>
    <x v="10"/>
    <n v="18000"/>
    <x v="21"/>
    <x v="0"/>
  </r>
  <r>
    <x v="7"/>
    <s v="Kestrel Telecom  "/>
    <s v="analytics"/>
    <x v="10"/>
    <n v="38000"/>
    <x v="7"/>
    <x v="0"/>
  </r>
  <r>
    <x v="11"/>
    <s v="Sandstone Roofing"/>
    <s v="Core Platform"/>
    <x v="2"/>
    <n v="66000"/>
    <x v="11"/>
    <x v="2"/>
  </r>
  <r>
    <x v="7"/>
    <s v="Kestrel Telecom  "/>
    <s v="Core Platform"/>
    <x v="12"/>
    <n v="100000"/>
    <x v="7"/>
    <x v="2"/>
  </r>
  <r>
    <x v="24"/>
    <s v="Beacon Environmental"/>
    <s v="Automation "/>
    <x v="2"/>
    <n v="19000"/>
    <x v="24"/>
    <x v="1"/>
  </r>
  <r>
    <x v="25"/>
    <s v="Silverline Rail"/>
    <s v="Core Platform"/>
    <x v="0"/>
    <n v="40000"/>
    <x v="25"/>
    <x v="2"/>
  </r>
  <r>
    <x v="17"/>
    <s v="Lakeside Energy"/>
    <s v="Core Platform"/>
    <x v="8"/>
    <n v="112000"/>
    <x v="17"/>
    <x v="2"/>
  </r>
  <r>
    <x v="26"/>
    <s v="Vertex Manufacturing"/>
    <s v="Automation "/>
    <x v="1"/>
    <n v="9000"/>
    <x v="26"/>
    <x v="1"/>
  </r>
  <r>
    <x v="5"/>
    <s v="Granite State Mechanical"/>
    <s v="Core Platform"/>
    <x v="4"/>
    <n v="79000"/>
    <x v="5"/>
    <x v="2"/>
  </r>
  <r>
    <x v="19"/>
    <s v="Maple Grove Maintenance"/>
    <s v="Analytics Add-On"/>
    <x v="2"/>
    <n v="40000"/>
    <x v="19"/>
    <x v="0"/>
  </r>
  <r>
    <x v="27"/>
    <s v="Northwind Trading"/>
    <s v="Analytics Add-On"/>
    <x v="2"/>
    <n v="33000"/>
    <x v="27"/>
    <x v="0"/>
  </r>
  <r>
    <x v="16"/>
    <s v="Harborview Plumbing"/>
    <s v="Core Platform"/>
    <x v="0"/>
    <n v="70000"/>
    <x v="16"/>
    <x v="2"/>
  </r>
  <r>
    <x v="28"/>
    <s v="Sterling Facilities"/>
    <s v="Core Platform"/>
    <x v="10"/>
    <n v="155000"/>
    <x v="28"/>
    <x v="2"/>
  </r>
  <r>
    <x v="22"/>
    <s v="Redwood Field Services"/>
    <s v="Analytics Add-On"/>
    <x v="10"/>
    <n v="23000"/>
    <x v="22"/>
    <x v="0"/>
  </r>
  <r>
    <x v="4"/>
    <s v="Ironclad Security"/>
    <s v="Automation "/>
    <x v="10"/>
    <n v="10000"/>
    <x v="4"/>
    <x v="1"/>
  </r>
  <r>
    <x v="8"/>
    <s v="Blue Harbor Logistics"/>
    <s v="Automation"/>
    <x v="3"/>
    <n v="10000"/>
    <x v="8"/>
    <x v="1"/>
  </r>
  <r>
    <x v="11"/>
    <s v="Sandstone Roofing"/>
    <s v="analytics"/>
    <x v="1"/>
    <n v="17000"/>
    <x v="11"/>
    <x v="0"/>
  </r>
  <r>
    <x v="22"/>
    <s v="Redwood Field Services  "/>
    <s v="Automation"/>
    <x v="11"/>
    <n v="18000"/>
    <x v="22"/>
    <x v="1"/>
  </r>
  <r>
    <x v="4"/>
    <s v="Ironclad Security"/>
    <s v="Automation"/>
    <x v="2"/>
    <n v="10000"/>
    <x v="4"/>
    <x v="1"/>
  </r>
  <r>
    <x v="17"/>
    <s v="Lakeside Energy"/>
    <s v="Analytics Add-On"/>
    <x v="10"/>
    <n v="26000"/>
    <x v="17"/>
    <x v="0"/>
  </r>
  <r>
    <x v="28"/>
    <s v="Sterling Facilities"/>
    <s v="Core"/>
    <x v="9"/>
    <n v="120000"/>
    <x v="28"/>
    <x v="2"/>
  </r>
  <r>
    <x v="10"/>
    <s v="Summit Fire Protection"/>
    <s v="Core Platform"/>
    <x v="12"/>
    <n v="77000"/>
    <x v="10"/>
    <x v="2"/>
  </r>
  <r>
    <x v="5"/>
    <s v="Granite State Mechanical"/>
    <s v="Core"/>
    <x v="8"/>
    <n v="79000"/>
    <x v="5"/>
    <x v="2"/>
  </r>
  <r>
    <x v="0"/>
    <s v="Meridian Water Group"/>
    <s v="Automation"/>
    <x v="10"/>
    <n v="19000"/>
    <x v="0"/>
    <x v="1"/>
  </r>
  <r>
    <x v="14"/>
    <s v="Foundry Industrial"/>
    <s v="analytics"/>
    <x v="10"/>
    <n v="31000"/>
    <x v="14"/>
    <x v="0"/>
  </r>
  <r>
    <x v="7"/>
    <s v="Kestrel Telecom"/>
    <s v="analytics"/>
    <x v="0"/>
    <n v="38000"/>
    <x v="7"/>
    <x v="0"/>
  </r>
  <r>
    <x v="24"/>
    <s v="Beacon Environmental"/>
    <s v="Core"/>
    <x v="3"/>
    <n v="95000"/>
    <x v="24"/>
    <x v="2"/>
  </r>
  <r>
    <x v="5"/>
    <s v="Granite State Mechanical"/>
    <s v="Automation"/>
    <x v="3"/>
    <n v="10000"/>
    <x v="5"/>
    <x v="1"/>
  </r>
  <r>
    <x v="9"/>
    <s v="Atlas Elevator Co"/>
    <s v="Core Platform"/>
    <x v="11"/>
    <n v="60000"/>
    <x v="9"/>
    <x v="2"/>
  </r>
  <r>
    <x v="2"/>
    <s v="Pinecrest Property"/>
    <s v="Core Platform"/>
    <x v="2"/>
    <n v="118000"/>
    <x v="2"/>
    <x v="2"/>
  </r>
  <r>
    <x v="5"/>
    <s v="Granite State Mechanical  "/>
    <s v="Automation "/>
    <x v="10"/>
    <n v="10000"/>
    <x v="5"/>
    <x v="1"/>
  </r>
  <r>
    <x v="15"/>
    <s v="Delta Refrigeration"/>
    <s v="Core"/>
    <x v="4"/>
    <n v="102000"/>
    <x v="15"/>
    <x v="2"/>
  </r>
  <r>
    <x v="26"/>
    <s v="Vertex Manufacturing"/>
    <s v="Core"/>
    <x v="10"/>
    <n v="85000"/>
    <x v="26"/>
    <x v="2"/>
  </r>
  <r>
    <x v="22"/>
    <s v="Redwood Field Services"/>
    <s v="Core"/>
    <x v="1"/>
    <n v="35000"/>
    <x v="22"/>
    <x v="2"/>
  </r>
  <r>
    <x v="2"/>
    <s v="Pinecrest Property"/>
    <s v="analytics"/>
    <x v="1"/>
    <n v="39000"/>
    <x v="2"/>
    <x v="0"/>
  </r>
  <r>
    <x v="6"/>
    <s v="Ridgeline HVAC"/>
    <s v="Core Platform"/>
    <x v="3"/>
    <n v="132000"/>
    <x v="6"/>
    <x v="2"/>
  </r>
  <r>
    <x v="25"/>
    <s v="Silverline Rail"/>
    <s v="Core Platform"/>
    <x v="10"/>
    <n v="35000"/>
    <x v="25"/>
    <x v="2"/>
  </r>
  <r>
    <x v="1"/>
    <s v="Cobalt Networks"/>
    <s v="Core Platform"/>
    <x v="2"/>
    <n v="70000"/>
    <x v="1"/>
    <x v="2"/>
  </r>
  <r>
    <x v="29"/>
    <s v="Orion Building Systems"/>
    <s v="Core"/>
    <x v="8"/>
    <n v="49000"/>
    <x v="29"/>
    <x v="2"/>
  </r>
  <r>
    <x v="29"/>
    <s v="Orion Building Systems  "/>
    <s v="analytics"/>
    <x v="2"/>
    <n v="17000"/>
    <x v="29"/>
    <x v="0"/>
  </r>
  <r>
    <x v="15"/>
    <s v="Delta Refrigeration"/>
    <s v="analytics"/>
    <x v="2"/>
    <n v="17000"/>
    <x v="15"/>
    <x v="0"/>
  </r>
  <r>
    <x v="12"/>
    <s v="Halcyon Pharma  "/>
    <s v="analytics"/>
    <x v="6"/>
    <n v="13000"/>
    <x v="12"/>
    <x v="0"/>
  </r>
  <r>
    <x v="5"/>
    <s v="Granite State Mechanical"/>
    <s v="Core Platform"/>
    <x v="0"/>
    <n v="79000"/>
    <x v="5"/>
    <x v="2"/>
  </r>
  <r>
    <x v="17"/>
    <s v="Lakeside Energy"/>
    <s v="Core"/>
    <x v="5"/>
    <n v="112000"/>
    <x v="17"/>
    <x v="2"/>
  </r>
  <r>
    <x v="17"/>
    <s v="Lakeside Energy"/>
    <s v="Core Platform"/>
    <x v="2"/>
    <n v="112000"/>
    <x v="17"/>
    <x v="2"/>
  </r>
  <r>
    <x v="8"/>
    <s v="Blue Harbor Logistics"/>
    <s v="Core Platform"/>
    <x v="3"/>
    <n v="72000"/>
    <x v="8"/>
    <x v="2"/>
  </r>
  <r>
    <x v="5"/>
    <s v="Granite State Mechanical"/>
    <s v="Core"/>
    <x v="6"/>
    <n v="90000"/>
    <x v="5"/>
    <x v="2"/>
  </r>
  <r>
    <x v="25"/>
    <s v="Silverline Rail"/>
    <s v="Core"/>
    <x v="3"/>
    <n v="40000"/>
    <x v="25"/>
    <x v="2"/>
  </r>
  <r>
    <x v="22"/>
    <s v="Redwood Field Services"/>
    <s v="analytics"/>
    <x v="1"/>
    <n v="23000"/>
    <x v="22"/>
    <x v="0"/>
  </r>
  <r>
    <x v="25"/>
    <s v="Silverline Rail"/>
    <s v="Automation"/>
    <x v="1"/>
    <n v="19000"/>
    <x v="25"/>
    <x v="1"/>
  </r>
  <r>
    <x v="6"/>
    <s v="Ridgeline HVAC"/>
    <s v="Core"/>
    <x v="8"/>
    <n v="111000"/>
    <x v="6"/>
    <x v="2"/>
  </r>
  <r>
    <x v="0"/>
    <s v="Meridian Water Group"/>
    <s v="Core Platform"/>
    <x v="6"/>
    <n v="97000"/>
    <x v="0"/>
    <x v="2"/>
  </r>
  <r>
    <x v="5"/>
    <s v="Granite State Mechanical"/>
    <s v="analytics"/>
    <x v="2"/>
    <n v="30000"/>
    <x v="5"/>
    <x v="0"/>
  </r>
  <r>
    <x v="17"/>
    <s v="Lakeside Energy"/>
    <s v="analytics"/>
    <x v="11"/>
    <n v="26000"/>
    <x v="17"/>
    <x v="0"/>
  </r>
  <r>
    <x v="7"/>
    <s v="Kestrel Telecom"/>
    <s v="analytics"/>
    <x v="8"/>
    <n v="38000"/>
    <x v="7"/>
    <x v="0"/>
  </r>
  <r>
    <x v="22"/>
    <s v="Redwood Field Services"/>
    <s v="Automation"/>
    <x v="3"/>
    <n v="18000"/>
    <x v="22"/>
    <x v="1"/>
  </r>
  <r>
    <x v="16"/>
    <s v="Harborview Plumbing"/>
    <s v="Automation"/>
    <x v="6"/>
    <n v="27000"/>
    <x v="16"/>
    <x v="1"/>
  </r>
  <r>
    <x v="30"/>
    <s v="Timberline Landscaping"/>
    <s v="Core Platform"/>
    <x v="6"/>
    <n v="44000"/>
    <x v="30"/>
    <x v="2"/>
  </r>
  <r>
    <x v="21"/>
    <s v="Everest Drilling"/>
    <s v="Automation"/>
    <x v="4"/>
    <n v="20000"/>
    <x v="21"/>
    <x v="1"/>
  </r>
  <r>
    <x v="16"/>
    <s v="Harborview Plumbing"/>
    <s v="Core Platform"/>
    <x v="7"/>
    <n v="70000"/>
    <x v="16"/>
    <x v="2"/>
  </r>
  <r>
    <x v="14"/>
    <s v="Foundry Industrial"/>
    <s v="analytics"/>
    <x v="4"/>
    <n v="31000"/>
    <x v="14"/>
    <x v="0"/>
  </r>
  <r>
    <x v="27"/>
    <s v="Northwind Trading"/>
    <s v="analytics"/>
    <x v="0"/>
    <n v="33000"/>
    <x v="27"/>
    <x v="0"/>
  </r>
  <r>
    <x v="24"/>
    <s v="Beacon Environmental"/>
    <s v="Automation"/>
    <x v="1"/>
    <n v="25000"/>
    <x v="24"/>
    <x v="1"/>
  </r>
  <r>
    <x v="19"/>
    <s v="Maple Grove Maintenance"/>
    <s v="Core Platform"/>
    <x v="7"/>
    <n v="63000"/>
    <x v="19"/>
    <x v="2"/>
  </r>
  <r>
    <x v="0"/>
    <s v="Meridian Water Group"/>
    <s v="Automation"/>
    <x v="1"/>
    <n v="19000"/>
    <x v="0"/>
    <x v="1"/>
  </r>
  <r>
    <x v="31"/>
    <s v="Brightway Solar"/>
    <s v="Core Platform"/>
    <x v="11"/>
    <n v="73000"/>
    <x v="31"/>
    <x v="2"/>
  </r>
  <r>
    <x v="4"/>
    <s v="Ironclad Security"/>
    <s v="Core Platform"/>
    <x v="0"/>
    <n v="90000"/>
    <x v="4"/>
    <x v="2"/>
  </r>
  <r>
    <x v="27"/>
    <s v="Northwind Trading"/>
    <s v="analytics"/>
    <x v="10"/>
    <n v="27000"/>
    <x v="27"/>
    <x v="0"/>
  </r>
  <r>
    <x v="17"/>
    <s v="Lakeside Energy"/>
    <s v="Automation "/>
    <x v="1"/>
    <n v="11000"/>
    <x v="17"/>
    <x v="1"/>
  </r>
  <r>
    <x v="15"/>
    <s v="Delta Refrigeration"/>
    <s v="Automation"/>
    <x v="11"/>
    <n v="22000"/>
    <x v="15"/>
    <x v="1"/>
  </r>
  <r>
    <x v="4"/>
    <s v="Ironclad Security"/>
    <s v="Automation"/>
    <x v="3"/>
    <n v="10000"/>
    <x v="4"/>
    <x v="1"/>
  </r>
  <r>
    <x v="12"/>
    <s v="Halcyon Pharma  "/>
    <s v="analytics"/>
    <x v="0"/>
    <n v="13000"/>
    <x v="12"/>
    <x v="0"/>
  </r>
  <r>
    <x v="6"/>
    <s v="Ridgeline HVAC"/>
    <s v="analytics"/>
    <x v="4"/>
    <n v="15000"/>
    <x v="6"/>
    <x v="0"/>
  </r>
  <r>
    <x v="32"/>
    <s v="Riverbend Agriculture"/>
    <s v="Core"/>
    <x v="1"/>
    <n v="71000"/>
    <x v="32"/>
    <x v="2"/>
  </r>
  <r>
    <x v="4"/>
    <s v="Ironclad Security"/>
    <s v="Automation"/>
    <x v="0"/>
    <n v="10000"/>
    <x v="4"/>
    <x v="1"/>
  </r>
  <r>
    <x v="31"/>
    <s v="Brightway Solar"/>
    <s v="Core Platform"/>
    <x v="12"/>
    <n v="73000"/>
    <x v="31"/>
    <x v="2"/>
  </r>
  <r>
    <x v="28"/>
    <s v="Sterling Facilities"/>
    <s v="Core"/>
    <x v="0"/>
    <n v="155000"/>
    <x v="28"/>
    <x v="2"/>
  </r>
  <r>
    <x v="12"/>
    <s v="Halcyon Pharma"/>
    <s v="Core"/>
    <x v="1"/>
    <n v="33000"/>
    <x v="12"/>
    <x v="2"/>
  </r>
  <r>
    <x v="27"/>
    <s v="Northwind Trading"/>
    <s v="Core"/>
    <x v="8"/>
    <n v="117000"/>
    <x v="27"/>
    <x v="2"/>
  </r>
  <r>
    <x v="2"/>
    <s v="Pinecrest Property"/>
    <s v="Automation"/>
    <x v="7"/>
    <n v="24000"/>
    <x v="2"/>
    <x v="1"/>
  </r>
  <r>
    <x v="16"/>
    <s v="Harborview Plumbing"/>
    <s v="Core"/>
    <x v="8"/>
    <n v="70000"/>
    <x v="16"/>
    <x v="2"/>
  </r>
  <r>
    <x v="5"/>
    <s v="Granite State Mechanical"/>
    <s v="Analytics Add-On"/>
    <x v="12"/>
    <n v="30000"/>
    <x v="5"/>
    <x v="0"/>
  </r>
  <r>
    <x v="22"/>
    <s v="Redwood Field Services"/>
    <s v="Core"/>
    <x v="9"/>
    <n v="35000"/>
    <x v="22"/>
    <x v="2"/>
  </r>
  <r>
    <x v="16"/>
    <s v="Harborview Plumbing"/>
    <s v="Automation"/>
    <x v="7"/>
    <n v="27000"/>
    <x v="16"/>
    <x v="1"/>
  </r>
  <r>
    <x v="27"/>
    <s v="Northwind Trading"/>
    <s v="Core"/>
    <x v="5"/>
    <n v="117000"/>
    <x v="27"/>
    <x v="2"/>
  </r>
  <r>
    <x v="21"/>
    <s v="Everest Drilling"/>
    <s v="Core Platform"/>
    <x v="3"/>
    <n v="52000"/>
    <x v="21"/>
    <x v="2"/>
  </r>
  <r>
    <x v="33"/>
    <s v="Trailhead Equipment"/>
    <s v="Core Platform"/>
    <x v="4"/>
    <n v="105000"/>
    <x v="33"/>
    <x v="2"/>
  </r>
  <r>
    <x v="26"/>
    <s v="Vertex Manufacturing"/>
    <s v="Automation"/>
    <x v="6"/>
    <n v="9000"/>
    <x v="26"/>
    <x v="1"/>
  </r>
  <r>
    <x v="13"/>
    <s v="Fairwind Marine"/>
    <s v="Core Platform"/>
    <x v="10"/>
    <n v="88000"/>
    <x v="13"/>
    <x v="2"/>
  </r>
  <r>
    <x v="4"/>
    <s v="Ironclad Security"/>
    <s v="Core Platform"/>
    <x v="5"/>
    <n v="90000"/>
    <x v="4"/>
    <x v="2"/>
  </r>
  <r>
    <x v="27"/>
    <s v="Northwind Trading"/>
    <s v="Automation"/>
    <x v="0"/>
    <n v="16000"/>
    <x v="27"/>
    <x v="1"/>
  </r>
  <r>
    <x v="19"/>
    <s v="Maple Grove Maintenance"/>
    <s v="Core"/>
    <x v="11"/>
    <n v="63000"/>
    <x v="19"/>
    <x v="2"/>
  </r>
  <r>
    <x v="11"/>
    <s v="Sandstone Roofing"/>
    <s v="analytics"/>
    <x v="0"/>
    <n v="17000"/>
    <x v="11"/>
    <x v="0"/>
  </r>
  <r>
    <x v="11"/>
    <s v="Sandstone Roofing"/>
    <s v="analytics"/>
    <x v="6"/>
    <n v="17000"/>
    <x v="11"/>
    <x v="0"/>
  </r>
  <r>
    <x v="1"/>
    <s v="Cobalt Networks"/>
    <s v="analytics"/>
    <x v="10"/>
    <n v="35000"/>
    <x v="1"/>
    <x v="0"/>
  </r>
  <r>
    <x v="21"/>
    <s v="Everest Drilling"/>
    <s v="Automation"/>
    <x v="10"/>
    <n v="20000"/>
    <x v="21"/>
    <x v="1"/>
  </r>
  <r>
    <x v="7"/>
    <s v="Kestrel Telecom"/>
    <s v="Automation"/>
    <x v="4"/>
    <n v="22000"/>
    <x v="7"/>
    <x v="1"/>
  </r>
  <r>
    <x v="33"/>
    <s v="Trailhead Equipment"/>
    <s v="Core Platform"/>
    <x v="10"/>
    <n v="105000"/>
    <x v="33"/>
    <x v="2"/>
  </r>
  <r>
    <x v="24"/>
    <s v="Beacon Environmental"/>
    <s v="Core Platform"/>
    <x v="6"/>
    <n v="95000"/>
    <x v="24"/>
    <x v="2"/>
  </r>
  <r>
    <x v="4"/>
    <s v="Ironclad Security"/>
    <s v="Automation"/>
    <x v="1"/>
    <n v="12000"/>
    <x v="4"/>
    <x v="1"/>
  </r>
  <r>
    <x v="32"/>
    <s v="Riverbend Agriculture  "/>
    <s v="Automation "/>
    <x v="2"/>
    <n v="19000"/>
    <x v="32"/>
    <x v="1"/>
  </r>
  <r>
    <x v="22"/>
    <s v="Redwood Field Services"/>
    <s v="Analytics Add-On"/>
    <x v="3"/>
    <n v="23000"/>
    <x v="22"/>
    <x v="0"/>
  </r>
  <r>
    <x v="2"/>
    <s v="Pinecrest Property"/>
    <s v="Core Platform"/>
    <x v="10"/>
    <n v="118000"/>
    <x v="2"/>
    <x v="2"/>
  </r>
  <r>
    <x v="5"/>
    <s v="Granite State Mechanical"/>
    <s v="Automation"/>
    <x v="6"/>
    <n v="10000"/>
    <x v="5"/>
    <x v="1"/>
  </r>
  <r>
    <x v="3"/>
    <s v="Willowbrook Care"/>
    <s v="Core Platform"/>
    <x v="10"/>
    <n v="79000"/>
    <x v="3"/>
    <x v="2"/>
  </r>
  <r>
    <x v="14"/>
    <s v="Foundry Industrial"/>
    <s v="Core"/>
    <x v="1"/>
    <n v="60000"/>
    <x v="14"/>
    <x v="2"/>
  </r>
  <r>
    <x v="9"/>
    <s v="Atlas Elevator Co"/>
    <s v="Core Platform"/>
    <x v="0"/>
    <n v="60000"/>
    <x v="9"/>
    <x v="2"/>
  </r>
  <r>
    <x v="19"/>
    <s v="Maple Grove Maintenance"/>
    <s v="analytics"/>
    <x v="0"/>
    <n v="35000"/>
    <x v="19"/>
    <x v="0"/>
  </r>
  <r>
    <x v="17"/>
    <s v="Lakeside Energy"/>
    <s v="Core Platform"/>
    <x v="9"/>
    <n v="100000"/>
    <x v="17"/>
    <x v="2"/>
  </r>
  <r>
    <x v="9"/>
    <s v="Atlas Elevator Co"/>
    <s v="Core"/>
    <x v="6"/>
    <n v="72000"/>
    <x v="9"/>
    <x v="2"/>
  </r>
  <r>
    <x v="9"/>
    <s v="Atlas Elevator Co"/>
    <s v="Core"/>
    <x v="8"/>
    <n v="60000"/>
    <x v="9"/>
    <x v="2"/>
  </r>
  <r>
    <x v="8"/>
    <s v="Blue Harbor Logistics"/>
    <s v="Core Platform"/>
    <x v="9"/>
    <n v="47000"/>
    <x v="8"/>
    <x v="2"/>
  </r>
  <r>
    <x v="16"/>
    <s v="Harborview Plumbing  "/>
    <s v="Analytics Add-On"/>
    <x v="1"/>
    <n v="22000"/>
    <x v="16"/>
    <x v="0"/>
  </r>
  <r>
    <x v="26"/>
    <s v="Vertex Manufacturing"/>
    <s v="Automation"/>
    <x v="4"/>
    <n v="9000"/>
    <x v="26"/>
    <x v="1"/>
  </r>
  <r>
    <x v="9"/>
    <s v="Atlas Elevator Co"/>
    <s v="Analytics Add-On"/>
    <x v="8"/>
    <n v="36000"/>
    <x v="9"/>
    <x v="0"/>
  </r>
  <r>
    <x v="11"/>
    <s v="Sandstone Roofing"/>
    <s v="Automation"/>
    <x v="6"/>
    <n v="11000"/>
    <x v="11"/>
    <x v="1"/>
  </r>
  <r>
    <x v="6"/>
    <s v="Ridgeline HVAC"/>
    <s v="analytics"/>
    <x v="0"/>
    <n v="15000"/>
    <x v="6"/>
    <x v="0"/>
  </r>
  <r>
    <x v="15"/>
    <s v="Delta Refrigeration"/>
    <s v="Core Platform"/>
    <x v="12"/>
    <n v="102000"/>
    <x v="15"/>
    <x v="2"/>
  </r>
  <r>
    <x v="12"/>
    <s v="Halcyon Pharma"/>
    <s v="Core"/>
    <x v="2"/>
    <n v="33000"/>
    <x v="12"/>
    <x v="2"/>
  </r>
  <r>
    <x v="9"/>
    <s v="Atlas Elevator Co"/>
    <s v="Analytics Add-On"/>
    <x v="11"/>
    <n v="36000"/>
    <x v="9"/>
    <x v="0"/>
  </r>
  <r>
    <x v="2"/>
    <s v="Pinecrest Property"/>
    <s v="Automation"/>
    <x v="11"/>
    <n v="24000"/>
    <x v="2"/>
    <x v="1"/>
  </r>
  <r>
    <x v="7"/>
    <s v="Kestrel Telecom"/>
    <s v="Automation"/>
    <x v="10"/>
    <n v="22000"/>
    <x v="7"/>
    <x v="1"/>
  </r>
  <r>
    <x v="15"/>
    <s v="Delta Refrigeration"/>
    <s v="Analytics Add-On"/>
    <x v="8"/>
    <n v="17000"/>
    <x v="15"/>
    <x v="0"/>
  </r>
  <r>
    <x v="1"/>
    <s v="Cobalt Networks"/>
    <s v="analytics"/>
    <x v="4"/>
    <n v="35000"/>
    <x v="1"/>
    <x v="0"/>
  </r>
  <r>
    <x v="22"/>
    <s v="Redwood Field Services"/>
    <s v="Analytics Add-On"/>
    <x v="0"/>
    <n v="23000"/>
    <x v="22"/>
    <x v="0"/>
  </r>
  <r>
    <x v="26"/>
    <s v="Vertex Manufacturing"/>
    <s v="Core"/>
    <x v="8"/>
    <n v="85000"/>
    <x v="26"/>
    <x v="2"/>
  </r>
  <r>
    <x v="21"/>
    <s v="Everest Drilling"/>
    <s v="analytics"/>
    <x v="6"/>
    <n v="18000"/>
    <x v="21"/>
    <x v="0"/>
  </r>
  <r>
    <x v="2"/>
    <s v="Pinecrest Property"/>
    <s v="analytics"/>
    <x v="4"/>
    <n v="39000"/>
    <x v="2"/>
    <x v="0"/>
  </r>
  <r>
    <x v="16"/>
    <s v="Harborview Plumbing"/>
    <s v="Automation "/>
    <x v="4"/>
    <n v="27000"/>
    <x v="16"/>
    <x v="1"/>
  </r>
  <r>
    <x v="9"/>
    <s v="Atlas Elevator Co"/>
    <s v="Core Platform"/>
    <x v="3"/>
    <n v="60000"/>
    <x v="9"/>
    <x v="2"/>
  </r>
  <r>
    <x v="13"/>
    <s v="Fairwind Marine  "/>
    <s v="Core Platform"/>
    <x v="3"/>
    <n v="88000"/>
    <x v="13"/>
    <x v="2"/>
  </r>
  <r>
    <x v="26"/>
    <s v="Vertex Manufacturing"/>
    <s v="Core Platform"/>
    <x v="6"/>
    <n v="85000"/>
    <x v="26"/>
    <x v="2"/>
  </r>
  <r>
    <x v="15"/>
    <s v="Delta Refrigeration"/>
    <s v="Core Platform"/>
    <x v="2"/>
    <n v="102000"/>
    <x v="15"/>
    <x v="2"/>
  </r>
  <r>
    <x v="33"/>
    <s v="Trailhead Equipment"/>
    <s v="Core"/>
    <x v="2"/>
    <n v="116000"/>
    <x v="33"/>
    <x v="2"/>
  </r>
  <r>
    <x v="31"/>
    <s v="Brightway Solar"/>
    <s v="Core"/>
    <x v="0"/>
    <n v="73000"/>
    <x v="31"/>
    <x v="2"/>
  </r>
  <r>
    <x v="16"/>
    <s v="Harborview Plumbing"/>
    <s v="Automation"/>
    <x v="12"/>
    <n v="27000"/>
    <x v="16"/>
    <x v="1"/>
  </r>
  <r>
    <x v="22"/>
    <s v="Redwood Field Services"/>
    <s v="Core"/>
    <x v="7"/>
    <n v="35000"/>
    <x v="22"/>
    <x v="2"/>
  </r>
  <r>
    <x v="33"/>
    <s v="Trailhead Equipment"/>
    <s v="Core"/>
    <x v="0"/>
    <n v="116000"/>
    <x v="33"/>
    <x v="2"/>
  </r>
  <r>
    <x v="1"/>
    <s v="Cobalt Networks"/>
    <s v="Automation"/>
    <x v="10"/>
    <n v="17000"/>
    <x v="1"/>
    <x v="1"/>
  </r>
  <r>
    <x v="16"/>
    <s v="Harborview Plumbing"/>
    <s v="analytics"/>
    <x v="11"/>
    <n v="18000"/>
    <x v="16"/>
    <x v="0"/>
  </r>
  <r>
    <x v="0"/>
    <s v="Meridian Water Group"/>
    <s v="Core Platform"/>
    <x v="1"/>
    <n v="97000"/>
    <x v="0"/>
    <x v="2"/>
  </r>
  <r>
    <x v="26"/>
    <s v="Vertex Manufacturing"/>
    <s v="analytics"/>
    <x v="0"/>
    <n v="27000"/>
    <x v="26"/>
    <x v="0"/>
  </r>
  <r>
    <x v="0"/>
    <s v="Meridian Water Group"/>
    <s v="Core"/>
    <x v="11"/>
    <n v="85000"/>
    <x v="0"/>
    <x v="2"/>
  </r>
  <r>
    <x v="16"/>
    <s v="Harborview Plumbing"/>
    <s v="Automation"/>
    <x v="3"/>
    <n v="27000"/>
    <x v="16"/>
    <x v="1"/>
  </r>
  <r>
    <x v="7"/>
    <s v="Kestrel Telecom"/>
    <s v="Core"/>
    <x v="8"/>
    <n v="100000"/>
    <x v="7"/>
    <x v="2"/>
  </r>
  <r>
    <x v="14"/>
    <s v="Foundry Industrial"/>
    <s v="Automation"/>
    <x v="4"/>
    <n v="19000"/>
    <x v="14"/>
    <x v="1"/>
  </r>
  <r>
    <x v="0"/>
    <s v="Meridian Water Group"/>
    <s v="Automation"/>
    <x v="7"/>
    <n v="19000"/>
    <x v="0"/>
    <x v="1"/>
  </r>
  <r>
    <x v="2"/>
    <s v="Pinecrest Property"/>
    <s v="Core Platform"/>
    <x v="8"/>
    <n v="118000"/>
    <x v="2"/>
    <x v="2"/>
  </r>
  <r>
    <x v="1"/>
    <s v="Cobalt Networks"/>
    <s v="Core Platform"/>
    <x v="1"/>
    <n v="70000"/>
    <x v="1"/>
    <x v="2"/>
  </r>
  <r>
    <x v="8"/>
    <s v="Blue Harbor Logistics"/>
    <s v="Automation"/>
    <x v="1"/>
    <n v="10000"/>
    <x v="8"/>
    <x v="1"/>
  </r>
  <r>
    <x v="4"/>
    <s v="Ironclad Security"/>
    <s v="Automation"/>
    <x v="11"/>
    <n v="8000"/>
    <x v="4"/>
    <x v="1"/>
  </r>
  <r>
    <x v="4"/>
    <s v="Ironclad Security"/>
    <s v="Core Platform"/>
    <x v="7"/>
    <n v="90000"/>
    <x v="4"/>
    <x v="2"/>
  </r>
  <r>
    <x v="19"/>
    <s v="Maple Grove Maintenance"/>
    <s v="Core Platform"/>
    <x v="0"/>
    <n v="73000"/>
    <x v="19"/>
    <x v="2"/>
  </r>
  <r>
    <x v="17"/>
    <s v="Lakeside Energy"/>
    <s v="analytics"/>
    <x v="5"/>
    <n v="26000"/>
    <x v="17"/>
    <x v="0"/>
  </r>
  <r>
    <x v="0"/>
    <s v="Meridian Water Group"/>
    <s v="analytics"/>
    <x v="8"/>
    <n v="24000"/>
    <x v="0"/>
    <x v="0"/>
  </r>
  <r>
    <x v="22"/>
    <s v="Redwood Field Services"/>
    <s v="Automation"/>
    <x v="6"/>
    <n v="18000"/>
    <x v="22"/>
    <x v="1"/>
  </r>
  <r>
    <x v="16"/>
    <s v="Harborview Plumbing"/>
    <s v="Automation "/>
    <x v="11"/>
    <n v="27000"/>
    <x v="16"/>
    <x v="1"/>
  </r>
  <r>
    <x v="23"/>
    <s v="Copperfield Electrical"/>
    <s v="Core Platform"/>
    <x v="10"/>
    <n v="46000"/>
    <x v="23"/>
    <x v="2"/>
  </r>
  <r>
    <x v="22"/>
    <s v="Redwood Field Services"/>
    <s v="Core"/>
    <x v="2"/>
    <n v="35000"/>
    <x v="22"/>
    <x v="2"/>
  </r>
  <r>
    <x v="16"/>
    <s v="Harborview Plumbing"/>
    <s v="Analytics Add-On"/>
    <x v="7"/>
    <n v="18000"/>
    <x v="16"/>
    <x v="0"/>
  </r>
  <r>
    <x v="8"/>
    <s v="Blue Harbor Logistics"/>
    <s v="Automation"/>
    <x v="2"/>
    <n v="10000"/>
    <x v="8"/>
    <x v="1"/>
  </r>
  <r>
    <x v="27"/>
    <s v="Northwind Trading"/>
    <s v="Automation"/>
    <x v="1"/>
    <n v="16000"/>
    <x v="27"/>
    <x v="1"/>
  </r>
  <r>
    <x v="16"/>
    <s v="Harborview Plumbing"/>
    <s v="Automation"/>
    <x v="5"/>
    <n v="27000"/>
    <x v="16"/>
    <x v="1"/>
  </r>
  <r>
    <x v="30"/>
    <s v="Timberline Landscaping"/>
    <s v="Core"/>
    <x v="3"/>
    <n v="44000"/>
    <x v="30"/>
    <x v="2"/>
  </r>
  <r>
    <x v="27"/>
    <s v="Northwind Trading"/>
    <s v="Core Platform"/>
    <x v="7"/>
    <n v="117000"/>
    <x v="27"/>
    <x v="2"/>
  </r>
  <r>
    <x v="9"/>
    <s v="Atlas Elevator Co"/>
    <s v="analytics"/>
    <x v="12"/>
    <n v="36000"/>
    <x v="9"/>
    <x v="0"/>
  </r>
  <r>
    <x v="13"/>
    <s v="Fairwind Marine"/>
    <s v="Core"/>
    <x v="6"/>
    <n v="88000"/>
    <x v="13"/>
    <x v="2"/>
  </r>
  <r>
    <x v="17"/>
    <s v="Lakeside Energy"/>
    <s v="Automation"/>
    <x v="3"/>
    <n v="11000"/>
    <x v="17"/>
    <x v="1"/>
  </r>
  <r>
    <x v="1"/>
    <s v="Cobalt Networks"/>
    <s v="analytics"/>
    <x v="0"/>
    <n v="35000"/>
    <x v="1"/>
    <x v="0"/>
  </r>
  <r>
    <x v="14"/>
    <s v="Foundry Industrial"/>
    <s v="analytics"/>
    <x v="5"/>
    <n v="26000"/>
    <x v="14"/>
    <x v="0"/>
  </r>
  <r>
    <x v="3"/>
    <s v="Willowbrook Care"/>
    <s v="Core"/>
    <x v="2"/>
    <n v="79000"/>
    <x v="3"/>
    <x v="2"/>
  </r>
  <r>
    <x v="26"/>
    <s v="Vertex Manufacturing"/>
    <s v="Core Platform"/>
    <x v="9"/>
    <n v="76000"/>
    <x v="26"/>
    <x v="2"/>
  </r>
  <r>
    <x v="5"/>
    <s v="Granite State Mechanical"/>
    <s v="Automation"/>
    <x v="11"/>
    <n v="10000"/>
    <x v="5"/>
    <x v="1"/>
  </r>
  <r>
    <x v="6"/>
    <s v="Ridgeline HVAC"/>
    <s v="analytics"/>
    <x v="8"/>
    <n v="15000"/>
    <x v="6"/>
    <x v="0"/>
  </r>
  <r>
    <x v="17"/>
    <s v="Lakeside Energy"/>
    <s v="Core"/>
    <x v="12"/>
    <n v="100000"/>
    <x v="17"/>
    <x v="2"/>
  </r>
  <r>
    <x v="21"/>
    <s v="Everest Drilling"/>
    <s v="analytics"/>
    <x v="1"/>
    <n v="18000"/>
    <x v="21"/>
    <x v="0"/>
  </r>
  <r>
    <x v="26"/>
    <s v="Vertex Manufacturing"/>
    <s v="Automation"/>
    <x v="8"/>
    <n v="9000"/>
    <x v="26"/>
    <x v="1"/>
  </r>
  <r>
    <x v="13"/>
    <s v="Fairwind Marine"/>
    <s v="analytics"/>
    <x v="6"/>
    <n v="19000"/>
    <x v="13"/>
    <x v="0"/>
  </r>
  <r>
    <x v="22"/>
    <s v="Redwood Field Services"/>
    <s v="analytics"/>
    <x v="4"/>
    <n v="23000"/>
    <x v="22"/>
    <x v="0"/>
  </r>
  <r>
    <x v="15"/>
    <s v="Delta Refrigeration"/>
    <s v="analytics"/>
    <x v="5"/>
    <n v="17000"/>
    <x v="15"/>
    <x v="0"/>
  </r>
  <r>
    <x v="10"/>
    <s v="Summit Fire Protection"/>
    <s v="Core"/>
    <x v="11"/>
    <n v="77000"/>
    <x v="10"/>
    <x v="2"/>
  </r>
  <r>
    <x v="16"/>
    <s v="Harborview Plumbing"/>
    <s v="Core"/>
    <x v="9"/>
    <n v="70000"/>
    <x v="16"/>
    <x v="2"/>
  </r>
  <r>
    <x v="4"/>
    <s v="Ironclad Security"/>
    <s v="Core"/>
    <x v="8"/>
    <n v="90000"/>
    <x v="4"/>
    <x v="2"/>
  </r>
  <r>
    <x v="6"/>
    <s v="Ridgeline HVAC"/>
    <s v="Core"/>
    <x v="0"/>
    <n v="132000"/>
    <x v="6"/>
    <x v="2"/>
  </r>
  <r>
    <x v="17"/>
    <s v="Lakeside Energy"/>
    <s v="Core"/>
    <x v="7"/>
    <n v="112000"/>
    <x v="17"/>
    <x v="2"/>
  </r>
  <r>
    <x v="2"/>
    <s v="Pinecrest Property"/>
    <s v="analytics"/>
    <x v="11"/>
    <n v="39000"/>
    <x v="2"/>
    <x v="0"/>
  </r>
  <r>
    <x v="0"/>
    <s v="Meridian Water Group"/>
    <s v="analytics"/>
    <x v="1"/>
    <n v="24000"/>
    <x v="0"/>
    <x v="0"/>
  </r>
  <r>
    <x v="7"/>
    <s v="Kestrel Telecom"/>
    <s v="Core Platform"/>
    <x v="7"/>
    <n v="100000"/>
    <x v="7"/>
    <x v="2"/>
  </r>
  <r>
    <x v="24"/>
    <s v="Beacon Environmental"/>
    <s v="Automation"/>
    <x v="4"/>
    <n v="19000"/>
    <x v="24"/>
    <x v="1"/>
  </r>
  <r>
    <x v="33"/>
    <s v="Trailhead Equipment"/>
    <s v="Automation"/>
    <x v="0"/>
    <n v="19000"/>
    <x v="33"/>
    <x v="1"/>
  </r>
  <r>
    <x v="14"/>
    <s v="Foundry Industrial"/>
    <s v="Core Platform"/>
    <x v="10"/>
    <n v="60000"/>
    <x v="14"/>
    <x v="2"/>
  </r>
  <r>
    <x v="1"/>
    <s v="Cobalt Networks"/>
    <s v="analytics"/>
    <x v="3"/>
    <n v="35000"/>
    <x v="1"/>
    <x v="0"/>
  </r>
  <r>
    <x v="26"/>
    <s v="Vertex Manufacturing"/>
    <s v="Core Platform"/>
    <x v="4"/>
    <n v="85000"/>
    <x v="26"/>
    <x v="2"/>
  </r>
  <r>
    <x v="21"/>
    <s v="Everest Drilling"/>
    <s v="Automation "/>
    <x v="6"/>
    <n v="20000"/>
    <x v="21"/>
    <x v="1"/>
  </r>
  <r>
    <x v="9"/>
    <s v="Atlas Elevator Co  "/>
    <s v="analytics"/>
    <x v="1"/>
    <n v="36000"/>
    <x v="9"/>
    <x v="0"/>
  </r>
  <r>
    <x v="32"/>
    <s v="Riverbend Agriculture"/>
    <s v="analytics"/>
    <x v="1"/>
    <n v="18000"/>
    <x v="32"/>
    <x v="0"/>
  </r>
  <r>
    <x v="2"/>
    <s v="Pinecrest Property"/>
    <s v="Core Platform"/>
    <x v="6"/>
    <n v="118000"/>
    <x v="2"/>
    <x v="2"/>
  </r>
  <r>
    <x v="15"/>
    <s v="Delta Refrigeration"/>
    <s v="analytics"/>
    <x v="6"/>
    <n v="17000"/>
    <x v="15"/>
    <x v="0"/>
  </r>
  <r>
    <x v="7"/>
    <s v="Kestrel Telecom"/>
    <s v="Core Platform"/>
    <x v="9"/>
    <n v="100000"/>
    <x v="7"/>
    <x v="2"/>
  </r>
  <r>
    <x v="13"/>
    <s v="Fairwind Marine"/>
    <s v="Analytics Add-On"/>
    <x v="0"/>
    <n v="19000"/>
    <x v="13"/>
    <x v="0"/>
  </r>
  <r>
    <x v="22"/>
    <s v="Redwood Field Services"/>
    <s v="analytics"/>
    <x v="9"/>
    <n v="23000"/>
    <x v="22"/>
    <x v="0"/>
  </r>
  <r>
    <x v="27"/>
    <s v="Northwind Trading"/>
    <s v="Core"/>
    <x v="10"/>
    <n v="117000"/>
    <x v="27"/>
    <x v="2"/>
  </r>
  <r>
    <x v="3"/>
    <s v="Willowbrook Care"/>
    <s v="Core Platform"/>
    <x v="1"/>
    <n v="62000"/>
    <x v="3"/>
    <x v="2"/>
  </r>
  <r>
    <x v="15"/>
    <s v="Delta Refrigeration"/>
    <s v="Automation"/>
    <x v="12"/>
    <n v="22000"/>
    <x v="15"/>
    <x v="1"/>
  </r>
  <r>
    <x v="31"/>
    <s v="Brightway Solar  "/>
    <s v="Core Platform"/>
    <x v="4"/>
    <n v="73000"/>
    <x v="31"/>
    <x v="2"/>
  </r>
  <r>
    <x v="15"/>
    <s v="Delta Refrigeration"/>
    <s v="analytics"/>
    <x v="12"/>
    <n v="17000"/>
    <x v="15"/>
    <x v="0"/>
  </r>
  <r>
    <x v="28"/>
    <s v="Sterling Facilities"/>
    <s v="Core Platform"/>
    <x v="6"/>
    <n v="155000"/>
    <x v="28"/>
    <x v="2"/>
  </r>
  <r>
    <x v="30"/>
    <s v="Timberline Landscaping"/>
    <s v="Core Platform"/>
    <x v="1"/>
    <n v="44000"/>
    <x v="30"/>
    <x v="2"/>
  </r>
  <r>
    <x v="9"/>
    <s v="Atlas Elevator Co"/>
    <s v="Core"/>
    <x v="9"/>
    <n v="60000"/>
    <x v="9"/>
    <x v="2"/>
  </r>
  <r>
    <x v="27"/>
    <s v="Northwind Trading"/>
    <s v="Automation "/>
    <x v="2"/>
    <n v="16000"/>
    <x v="27"/>
    <x v="1"/>
  </r>
  <r>
    <x v="31"/>
    <s v="Brightway Solar"/>
    <s v="Core"/>
    <x v="5"/>
    <n v="73000"/>
    <x v="31"/>
    <x v="2"/>
  </r>
  <r>
    <x v="4"/>
    <s v="Ironclad Security"/>
    <s v="analytics"/>
    <x v="4"/>
    <n v="36000"/>
    <x v="4"/>
    <x v="0"/>
  </r>
  <r>
    <x v="26"/>
    <s v="Vertex Manufacturing"/>
    <s v="analytics"/>
    <x v="1"/>
    <n v="27000"/>
    <x v="26"/>
    <x v="0"/>
  </r>
  <r>
    <x v="7"/>
    <s v="Kestrel Telecom"/>
    <s v="Analytics Add-On"/>
    <x v="1"/>
    <n v="38000"/>
    <x v="7"/>
    <x v="0"/>
  </r>
  <r>
    <x v="8"/>
    <s v="Blue Harbor Logistics"/>
    <s v="Core Platform"/>
    <x v="10"/>
    <n v="72000"/>
    <x v="8"/>
    <x v="2"/>
  </r>
  <r>
    <x v="19"/>
    <s v="Maple Grove Maintenance"/>
    <s v="Core"/>
    <x v="1"/>
    <n v="73000"/>
    <x v="19"/>
    <x v="2"/>
  </r>
  <r>
    <x v="21"/>
    <s v="Everest Drilling"/>
    <s v="Automation "/>
    <x v="1"/>
    <n v="20000"/>
    <x v="21"/>
    <x v="1"/>
  </r>
  <r>
    <x v="24"/>
    <s v="Beacon Environmental"/>
    <s v="analytics"/>
    <x v="2"/>
    <n v="19000"/>
    <x v="24"/>
    <x v="0"/>
  </r>
  <r>
    <x v="17"/>
    <s v="Lakeside Energy"/>
    <s v="Analytics Add-On"/>
    <x v="9"/>
    <n v="26000"/>
    <x v="17"/>
    <x v="0"/>
  </r>
  <r>
    <x v="1"/>
    <s v="Cobalt Networks"/>
    <s v="Automation "/>
    <x v="3"/>
    <n v="17000"/>
    <x v="1"/>
    <x v="1"/>
  </r>
  <r>
    <x v="31"/>
    <s v="Brightway Solar"/>
    <s v="Core Platform"/>
    <x v="7"/>
    <n v="73000"/>
    <x v="31"/>
    <x v="2"/>
  </r>
  <r>
    <x v="3"/>
    <s v="Willowbrook Care"/>
    <s v="Core"/>
    <x v="6"/>
    <n v="62000"/>
    <x v="3"/>
    <x v="2"/>
  </r>
  <r>
    <x v="29"/>
    <s v="Orion Building Systems"/>
    <s v="analytics"/>
    <x v="1"/>
    <n v="17000"/>
    <x v="29"/>
    <x v="0"/>
  </r>
  <r>
    <x v="34"/>
    <s v="Pentland Ports"/>
    <s v="Core Platform"/>
    <x v="1"/>
    <n v="88000"/>
    <x v="34"/>
    <x v="2"/>
  </r>
  <r>
    <x v="25"/>
    <s v="Silverline Rail"/>
    <s v="Core Platform"/>
    <x v="4"/>
    <n v="35000"/>
    <x v="25"/>
    <x v="2"/>
  </r>
  <r>
    <x v="30"/>
    <s v="Timberline Landscaping"/>
    <s v="Core Platform"/>
    <x v="2"/>
    <n v="44000"/>
    <x v="30"/>
    <x v="2"/>
  </r>
  <r>
    <x v="11"/>
    <s v="Sandstone Roofing"/>
    <s v="Core"/>
    <x v="8"/>
    <n v="66000"/>
    <x v="11"/>
    <x v="2"/>
  </r>
  <r>
    <x v="18"/>
    <s v="Cedar Peak Utilities"/>
    <s v="analytics"/>
    <x v="12"/>
    <n v="27000"/>
    <x v="18"/>
    <x v="0"/>
  </r>
  <r>
    <x v="29"/>
    <s v="Orion Building Systems"/>
    <s v="Core"/>
    <x v="2"/>
    <n v="49000"/>
    <x v="29"/>
    <x v="2"/>
  </r>
  <r>
    <x v="21"/>
    <s v="Everest Drilling"/>
    <s v="Core Platform"/>
    <x v="4"/>
    <n v="52000"/>
    <x v="21"/>
    <x v="2"/>
  </r>
  <r>
    <x v="26"/>
    <s v="Vertex Manufacturing"/>
    <s v="Core"/>
    <x v="11"/>
    <n v="85000"/>
    <x v="26"/>
    <x v="2"/>
  </r>
  <r>
    <x v="9"/>
    <s v="Atlas Elevator Co"/>
    <s v="Analytics Add-On"/>
    <x v="3"/>
    <n v="36000"/>
    <x v="9"/>
    <x v="0"/>
  </r>
  <r>
    <x v="23"/>
    <s v="Copperfield Electrical"/>
    <s v="Core Platform"/>
    <x v="9"/>
    <n v="62000"/>
    <x v="23"/>
    <x v="2"/>
  </r>
  <r>
    <x v="32"/>
    <s v="Riverbend Agriculture  "/>
    <s v="Core Platform"/>
    <x v="2"/>
    <n v="71000"/>
    <x v="32"/>
    <x v="2"/>
  </r>
  <r>
    <x v="14"/>
    <s v="Foundry Industrial"/>
    <s v="Core"/>
    <x v="9"/>
    <n v="60000"/>
    <x v="14"/>
    <x v="2"/>
  </r>
  <r>
    <x v="22"/>
    <s v="Redwood Field Services"/>
    <s v="Automation"/>
    <x v="4"/>
    <n v="18000"/>
    <x v="22"/>
    <x v="1"/>
  </r>
  <r>
    <x v="21"/>
    <s v="Everest Drilling"/>
    <s v="Core Platform"/>
    <x v="0"/>
    <n v="52000"/>
    <x v="21"/>
    <x v="2"/>
  </r>
  <r>
    <x v="0"/>
    <s v="Meridian Water Group"/>
    <s v="analytics"/>
    <x v="10"/>
    <n v="24000"/>
    <x v="0"/>
    <x v="0"/>
  </r>
  <r>
    <x v="27"/>
    <s v="Northwind Trading"/>
    <s v="analytics"/>
    <x v="3"/>
    <n v="33000"/>
    <x v="27"/>
    <x v="0"/>
  </r>
  <r>
    <x v="8"/>
    <s v="Blue Harbor Logistics"/>
    <s v="analytics"/>
    <x v="1"/>
    <n v="25000"/>
    <x v="8"/>
    <x v="0"/>
  </r>
  <r>
    <x v="29"/>
    <s v="Orion Building Systems"/>
    <s v="Automation"/>
    <x v="1"/>
    <n v="28000"/>
    <x v="29"/>
    <x v="1"/>
  </r>
  <r>
    <x v="26"/>
    <s v="Vertex Manufacturing"/>
    <s v="analytics"/>
    <x v="6"/>
    <n v="27000"/>
    <x v="26"/>
    <x v="0"/>
  </r>
  <r>
    <x v="11"/>
    <s v="Sandstone Roofing"/>
    <s v="Core Platform"/>
    <x v="4"/>
    <n v="66000"/>
    <x v="11"/>
    <x v="2"/>
  </r>
  <r>
    <x v="5"/>
    <s v="Granite State Mechanical"/>
    <s v="analytics"/>
    <x v="1"/>
    <n v="30000"/>
    <x v="5"/>
    <x v="0"/>
  </r>
  <r>
    <x v="4"/>
    <s v="Ironclad Security"/>
    <s v="Core"/>
    <x v="12"/>
    <n v="90000"/>
    <x v="4"/>
    <x v="2"/>
  </r>
  <r>
    <x v="3"/>
    <s v="Willowbrook Care"/>
    <s v="Core"/>
    <x v="5"/>
    <n v="66000"/>
    <x v="3"/>
    <x v="2"/>
  </r>
  <r>
    <x v="29"/>
    <s v="Orion Building Systems"/>
    <s v="Automation"/>
    <x v="6"/>
    <n v="28000"/>
    <x v="29"/>
    <x v="1"/>
  </r>
  <r>
    <x v="0"/>
    <s v="Meridian Water Group"/>
    <s v="analytics"/>
    <x v="2"/>
    <n v="24000"/>
    <x v="0"/>
    <x v="0"/>
  </r>
  <r>
    <x v="18"/>
    <s v="Cedar Peak Utilities"/>
    <s v="Automation"/>
    <x v="9"/>
    <n v="21000"/>
    <x v="18"/>
    <x v="1"/>
  </r>
  <r>
    <x v="4"/>
    <s v="Ironclad Security"/>
    <s v="analytics"/>
    <x v="3"/>
    <n v="36000"/>
    <x v="4"/>
    <x v="0"/>
  </r>
  <r>
    <x v="24"/>
    <s v="Beacon Environmental"/>
    <s v="Core Platform"/>
    <x v="2"/>
    <n v="95000"/>
    <x v="24"/>
    <x v="2"/>
  </r>
  <r>
    <x v="16"/>
    <s v="Harborview Plumbing"/>
    <s v="analytics"/>
    <x v="5"/>
    <n v="22000"/>
    <x v="16"/>
    <x v="0"/>
  </r>
  <r>
    <x v="8"/>
    <s v="Blue Harbor Logistics"/>
    <s v="Core"/>
    <x v="7"/>
    <n v="58000"/>
    <x v="8"/>
    <x v="2"/>
  </r>
  <r>
    <x v="18"/>
    <s v="Cedar Peak Utilities"/>
    <s v="Core Platform"/>
    <x v="11"/>
    <n v="38000"/>
    <x v="18"/>
    <x v="2"/>
  </r>
  <r>
    <x v="7"/>
    <s v="Kestrel Telecom"/>
    <s v="Core Platform"/>
    <x v="10"/>
    <n v="100000"/>
    <x v="7"/>
    <x v="2"/>
  </r>
  <r>
    <x v="5"/>
    <s v="Granite State Mechanical"/>
    <s v="analytics"/>
    <x v="4"/>
    <n v="30000"/>
    <x v="5"/>
    <x v="0"/>
  </r>
  <r>
    <x v="28"/>
    <s v="Sterling Facilities"/>
    <s v="Core Platform"/>
    <x v="3"/>
    <n v="155000"/>
    <x v="28"/>
    <x v="2"/>
  </r>
  <r>
    <x v="26"/>
    <s v="Vertex Manufacturing"/>
    <s v="Automation"/>
    <x v="5"/>
    <n v="9000"/>
    <x v="26"/>
    <x v="1"/>
  </r>
  <r>
    <x v="4"/>
    <s v="Ironclad Security"/>
    <s v="Analytics Add-On"/>
    <x v="10"/>
    <n v="29000"/>
    <x v="4"/>
    <x v="0"/>
  </r>
  <r>
    <x v="24"/>
    <s v="Beacon Environmental"/>
    <s v="analytics"/>
    <x v="6"/>
    <n v="19000"/>
    <x v="24"/>
    <x v="0"/>
  </r>
  <r>
    <x v="5"/>
    <s v="Granite State Mechanical"/>
    <s v="analytics"/>
    <x v="8"/>
    <n v="30000"/>
    <x v="5"/>
    <x v="0"/>
  </r>
  <r>
    <x v="7"/>
    <s v="Kestrel Telecom"/>
    <s v="analytics"/>
    <x v="2"/>
    <n v="38000"/>
    <x v="7"/>
    <x v="0"/>
  </r>
  <r>
    <x v="24"/>
    <s v="Beacon Environmental"/>
    <s v="Core"/>
    <x v="4"/>
    <n v="95000"/>
    <x v="24"/>
    <x v="2"/>
  </r>
  <r>
    <x v="4"/>
    <s v="Ironclad Security"/>
    <s v="Core Platform"/>
    <x v="1"/>
    <n v="90000"/>
    <x v="4"/>
    <x v="2"/>
  </r>
  <r>
    <x v="26"/>
    <s v="Vertex Manufacturing"/>
    <s v="Core Platform"/>
    <x v="2"/>
    <n v="85000"/>
    <x v="26"/>
    <x v="2"/>
  </r>
  <r>
    <x v="22"/>
    <s v="Redwood Field Services"/>
    <s v="Core Platform"/>
    <x v="8"/>
    <n v="35000"/>
    <x v="22"/>
    <x v="2"/>
  </r>
  <r>
    <x v="5"/>
    <s v="Granite State Mechanical"/>
    <s v="Core"/>
    <x v="11"/>
    <n v="61000"/>
    <x v="5"/>
    <x v="2"/>
  </r>
  <r>
    <x v="23"/>
    <s v="Copperfield Electrical"/>
    <s v="Core Platform"/>
    <x v="6"/>
    <n v="36000"/>
    <x v="23"/>
    <x v="2"/>
  </r>
  <r>
    <x v="19"/>
    <s v="Maple Grove Maintenance"/>
    <s v="analytics"/>
    <x v="11"/>
    <n v="35000"/>
    <x v="19"/>
    <x v="0"/>
  </r>
  <r>
    <x v="14"/>
    <s v="Foundry Industrial"/>
    <s v="analytics"/>
    <x v="2"/>
    <n v="31000"/>
    <x v="14"/>
    <x v="0"/>
  </r>
  <r>
    <x v="5"/>
    <s v="Granite State Mechanical"/>
    <s v="Automation"/>
    <x v="7"/>
    <n v="10000"/>
    <x v="5"/>
    <x v="1"/>
  </r>
  <r>
    <x v="4"/>
    <s v="Ironclad Security"/>
    <s v="Automation"/>
    <x v="12"/>
    <n v="8000"/>
    <x v="4"/>
    <x v="1"/>
  </r>
  <r>
    <x v="3"/>
    <s v="Willowbrook Care"/>
    <s v="Core"/>
    <x v="7"/>
    <n v="66000"/>
    <x v="3"/>
    <x v="2"/>
  </r>
  <r>
    <x v="28"/>
    <s v="Sterling Facilities"/>
    <s v="Core Platform"/>
    <x v="1"/>
    <n v="155000"/>
    <x v="28"/>
    <x v="2"/>
  </r>
  <r>
    <x v="8"/>
    <s v="Blue Harbor Logistics"/>
    <s v="Core"/>
    <x v="5"/>
    <n v="58000"/>
    <x v="8"/>
    <x v="2"/>
  </r>
  <r>
    <x v="1"/>
    <s v="Cobalt Networks"/>
    <s v="Core"/>
    <x v="0"/>
    <n v="70000"/>
    <x v="1"/>
    <x v="2"/>
  </r>
  <r>
    <x v="15"/>
    <s v="Delta Refrigeration"/>
    <s v="Core"/>
    <x v="0"/>
    <n v="102000"/>
    <x v="15"/>
    <x v="2"/>
  </r>
  <r>
    <x v="16"/>
    <s v="Harborview Plumbing"/>
    <s v="Core"/>
    <x v="3"/>
    <n v="70000"/>
    <x v="16"/>
    <x v="2"/>
  </r>
  <r>
    <x v="14"/>
    <s v="Foundry Industrial"/>
    <s v="Core"/>
    <x v="2"/>
    <n v="60000"/>
    <x v="14"/>
    <x v="2"/>
  </r>
  <r>
    <x v="17"/>
    <s v="Lakeside Energy"/>
    <s v="analytics"/>
    <x v="8"/>
    <n v="26000"/>
    <x v="17"/>
    <x v="0"/>
  </r>
  <r>
    <x v="0"/>
    <s v="Meridian Water Group"/>
    <s v="Core Platform"/>
    <x v="12"/>
    <n v="85000"/>
    <x v="0"/>
    <x v="2"/>
  </r>
  <r>
    <x v="33"/>
    <s v="Trailhead Equipment  "/>
    <s v="Core Platform"/>
    <x v="5"/>
    <n v="90000"/>
    <x v="33"/>
    <x v="2"/>
  </r>
  <r>
    <x v="6"/>
    <s v="Ridgeline HVAC"/>
    <s v="Core"/>
    <x v="5"/>
    <n v="111000"/>
    <x v="6"/>
    <x v="2"/>
  </r>
  <r>
    <x v="16"/>
    <s v="Harborview Plumbing"/>
    <s v="Automation"/>
    <x v="10"/>
    <n v="27000"/>
    <x v="16"/>
    <x v="1"/>
  </r>
  <r>
    <x v="1"/>
    <s v="Cobalt Networks"/>
    <s v="analytics"/>
    <x v="2"/>
    <n v="35000"/>
    <x v="1"/>
    <x v="0"/>
  </r>
  <r>
    <x v="29"/>
    <s v="Orion Building Systems  "/>
    <s v="Core Platform"/>
    <x v="12"/>
    <n v="49000"/>
    <x v="29"/>
    <x v="2"/>
  </r>
  <r>
    <x v="11"/>
    <s v="Sandstone Roofing"/>
    <s v="Core Platform"/>
    <x v="12"/>
    <n v="66000"/>
    <x v="11"/>
    <x v="2"/>
  </r>
  <r>
    <x v="14"/>
    <s v="Foundry Industrial"/>
    <s v="Automation"/>
    <x v="6"/>
    <n v="19000"/>
    <x v="14"/>
    <x v="1"/>
  </r>
  <r>
    <x v="12"/>
    <s v="Halcyon Pharma"/>
    <s v="analytics"/>
    <x v="1"/>
    <n v="16000"/>
    <x v="12"/>
    <x v="0"/>
  </r>
  <r>
    <x v="22"/>
    <s v="Redwood Field Services"/>
    <s v="Core Platform"/>
    <x v="4"/>
    <n v="35000"/>
    <x v="22"/>
    <x v="2"/>
  </r>
  <r>
    <x v="2"/>
    <s v="Pinecrest Property"/>
    <s v="Automation"/>
    <x v="3"/>
    <n v="27000"/>
    <x v="2"/>
    <x v="1"/>
  </r>
  <r>
    <x v="17"/>
    <s v="Lakeside Energy"/>
    <s v="analytics"/>
    <x v="3"/>
    <n v="26000"/>
    <x v="17"/>
    <x v="0"/>
  </r>
  <r>
    <x v="15"/>
    <s v="Delta Refrigeration"/>
    <s v="analytics"/>
    <x v="7"/>
    <n v="17000"/>
    <x v="15"/>
    <x v="0"/>
  </r>
  <r>
    <x v="1"/>
    <s v="Cobalt Networks"/>
    <s v="Core Platform"/>
    <x v="10"/>
    <n v="70000"/>
    <x v="1"/>
    <x v="2"/>
  </r>
  <r>
    <x v="19"/>
    <s v="Maple Grove Maintenance"/>
    <s v="analytics"/>
    <x v="12"/>
    <n v="35000"/>
    <x v="19"/>
    <x v="0"/>
  </r>
  <r>
    <x v="14"/>
    <s v="Foundry Industrial"/>
    <s v="analytics"/>
    <x v="7"/>
    <n v="26000"/>
    <x v="14"/>
    <x v="0"/>
  </r>
  <r>
    <x v="22"/>
    <s v="Redwood Field Services"/>
    <s v="analytics"/>
    <x v="7"/>
    <n v="23000"/>
    <x v="22"/>
    <x v="0"/>
  </r>
  <r>
    <x v="22"/>
    <s v="Redwood Field Services"/>
    <s v="Automation"/>
    <x v="2"/>
    <n v="18000"/>
    <x v="22"/>
    <x v="1"/>
  </r>
  <r>
    <x v="9"/>
    <s v="Atlas Elevator Co"/>
    <s v="Core"/>
    <x v="2"/>
    <n v="60000"/>
    <x v="9"/>
    <x v="2"/>
  </r>
  <r>
    <x v="7"/>
    <s v="Kestrel Telecom"/>
    <s v="analytics"/>
    <x v="9"/>
    <n v="31000"/>
    <x v="7"/>
    <x v="0"/>
  </r>
  <r>
    <x v="15"/>
    <s v="Delta Refrigeration"/>
    <s v="Automation"/>
    <x v="3"/>
    <n v="22000"/>
    <x v="15"/>
    <x v="1"/>
  </r>
  <r>
    <x v="5"/>
    <s v="Granite State Mechanical"/>
    <s v="Core"/>
    <x v="9"/>
    <n v="61000"/>
    <x v="5"/>
    <x v="2"/>
  </r>
  <r>
    <x v="19"/>
    <s v="Maple Grove Maintenance  "/>
    <s v="Core"/>
    <x v="12"/>
    <n v="63000"/>
    <x v="19"/>
    <x v="2"/>
  </r>
  <r>
    <x v="33"/>
    <s v="Trailhead Equipment"/>
    <s v="Core Platform"/>
    <x v="6"/>
    <n v="116000"/>
    <x v="33"/>
    <x v="2"/>
  </r>
  <r>
    <x v="27"/>
    <s v="Northwind Trading"/>
    <s v="Core"/>
    <x v="9"/>
    <n v="117000"/>
    <x v="27"/>
    <x v="2"/>
  </r>
  <r>
    <x v="0"/>
    <s v="Meridian Water Group"/>
    <s v="Core Platform"/>
    <x v="2"/>
    <n v="97000"/>
    <x v="0"/>
    <x v="2"/>
  </r>
  <r>
    <x v="19"/>
    <s v="Maple Grove Maintenance"/>
    <s v="Core Platform"/>
    <x v="6"/>
    <n v="73000"/>
    <x v="19"/>
    <x v="2"/>
  </r>
  <r>
    <x v="13"/>
    <s v="Fairwind Marine"/>
    <s v="Core"/>
    <x v="1"/>
    <n v="88000"/>
    <x v="13"/>
    <x v="2"/>
  </r>
  <r>
    <x v="21"/>
    <s v="Everest Drilling"/>
    <s v="Automation"/>
    <x v="3"/>
    <n v="20000"/>
    <x v="21"/>
    <x v="1"/>
  </r>
  <r>
    <x v="14"/>
    <s v="Foundry Industrial"/>
    <s v="analytics"/>
    <x v="0"/>
    <n v="31000"/>
    <x v="14"/>
    <x v="0"/>
  </r>
  <r>
    <x v="15"/>
    <s v="Delta Refrigeration"/>
    <s v="Core"/>
    <x v="8"/>
    <n v="102000"/>
    <x v="15"/>
    <x v="2"/>
  </r>
  <r>
    <x v="33"/>
    <s v="Trailhead Equipment"/>
    <s v="Core Platform"/>
    <x v="1"/>
    <n v="116000"/>
    <x v="33"/>
    <x v="2"/>
  </r>
  <r>
    <x v="15"/>
    <s v="Delta Refrigeration"/>
    <s v="Automation"/>
    <x v="10"/>
    <n v="22000"/>
    <x v="15"/>
    <x v="1"/>
  </r>
  <r>
    <x v="14"/>
    <s v="Foundry Industrial"/>
    <s v="analytics"/>
    <x v="6"/>
    <n v="31000"/>
    <x v="14"/>
    <x v="0"/>
  </r>
  <r>
    <x v="4"/>
    <s v="Ironclad Security  "/>
    <s v="Automation"/>
    <x v="7"/>
    <n v="8000"/>
    <x v="4"/>
    <x v="1"/>
  </r>
  <r>
    <x v="15"/>
    <s v="Delta Refrigeration"/>
    <s v="analytics"/>
    <x v="0"/>
    <n v="17000"/>
    <x v="15"/>
    <x v="0"/>
  </r>
  <r>
    <x v="26"/>
    <s v="Vertex Manufacturing  "/>
    <s v="Automation"/>
    <x v="9"/>
    <n v="9000"/>
    <x v="26"/>
    <x v="1"/>
  </r>
  <r>
    <x v="2"/>
    <s v="Pinecrest Property"/>
    <s v="Core Platform"/>
    <x v="3"/>
    <n v="118000"/>
    <x v="2"/>
    <x v="2"/>
  </r>
  <r>
    <x v="13"/>
    <s v="Fairwind Marine"/>
    <s v="Analytics Add-On"/>
    <x v="10"/>
    <n v="19000"/>
    <x v="13"/>
    <x v="0"/>
  </r>
  <r>
    <x v="27"/>
    <s v="Northwind Trading  "/>
    <s v="analytics"/>
    <x v="4"/>
    <n v="33000"/>
    <x v="27"/>
    <x v="0"/>
  </r>
  <r>
    <x v="11"/>
    <s v="Sandstone Roofing"/>
    <s v="Automation"/>
    <x v="4"/>
    <n v="11000"/>
    <x v="11"/>
    <x v="1"/>
  </r>
  <r>
    <x v="0"/>
    <s v="Meridian Water Group"/>
    <s v="Core Platform"/>
    <x v="4"/>
    <n v="85000"/>
    <x v="0"/>
    <x v="2"/>
  </r>
  <r>
    <x v="17"/>
    <s v="Lakeside Energy"/>
    <s v="Automation"/>
    <x v="10"/>
    <n v="11000"/>
    <x v="17"/>
    <x v="1"/>
  </r>
  <r>
    <x v="26"/>
    <s v="Vertex Manufacturing"/>
    <s v="Automation"/>
    <x v="12"/>
    <n v="9000"/>
    <x v="26"/>
    <x v="1"/>
  </r>
  <r>
    <x v="8"/>
    <s v="Blue Harbor Logistics"/>
    <s v="Automation "/>
    <x v="6"/>
    <n v="10000"/>
    <x v="8"/>
    <x v="1"/>
  </r>
  <r>
    <x v="22"/>
    <s v="Redwood Field Services"/>
    <s v="Automation"/>
    <x v="9"/>
    <n v="18000"/>
    <x v="22"/>
    <x v="1"/>
  </r>
  <r>
    <x v="4"/>
    <s v="Ironclad Security"/>
    <s v="analytics"/>
    <x v="0"/>
    <n v="45000"/>
    <x v="4"/>
    <x v="0"/>
  </r>
  <r>
    <x v="1"/>
    <s v="Cobalt Networks"/>
    <s v="analytics"/>
    <x v="5"/>
    <n v="35000"/>
    <x v="1"/>
    <x v="0"/>
  </r>
  <r>
    <x v="7"/>
    <s v="Kestrel Telecom"/>
    <s v="Core Platform"/>
    <x v="2"/>
    <n v="100000"/>
    <x v="7"/>
    <x v="2"/>
  </r>
  <r>
    <x v="4"/>
    <s v="Ironclad Security"/>
    <s v="Automation"/>
    <x v="4"/>
    <n v="10000"/>
    <x v="4"/>
    <x v="1"/>
  </r>
  <r>
    <x v="17"/>
    <s v="Lakeside Energy"/>
    <s v="Core Platform"/>
    <x v="3"/>
    <n v="112000"/>
    <x v="17"/>
    <x v="2"/>
  </r>
  <r>
    <x v="14"/>
    <s v="Foundry Industrial"/>
    <s v="Core"/>
    <x v="3"/>
    <n v="60000"/>
    <x v="14"/>
    <x v="2"/>
  </r>
  <r>
    <x v="7"/>
    <s v="Kestrel Telecom"/>
    <s v="analytics"/>
    <x v="4"/>
    <n v="38000"/>
    <x v="7"/>
    <x v="0"/>
  </r>
  <r>
    <x v="31"/>
    <s v="Brightway Solar"/>
    <s v="Core Platform"/>
    <x v="3"/>
    <n v="73000"/>
    <x v="31"/>
    <x v="2"/>
  </r>
  <r>
    <x v="17"/>
    <s v="Lakeside Energy"/>
    <s v="analytics"/>
    <x v="7"/>
    <n v="26000"/>
    <x v="17"/>
    <x v="0"/>
  </r>
  <r>
    <x v="2"/>
    <s v="Pinecrest Property"/>
    <s v="Core"/>
    <x v="9"/>
    <n v="118000"/>
    <x v="2"/>
    <x v="2"/>
  </r>
  <r>
    <x v="28"/>
    <s v="Sterling Facilities"/>
    <s v="Core"/>
    <x v="5"/>
    <n v="120000"/>
    <x v="28"/>
    <x v="2"/>
  </r>
  <r>
    <x v="23"/>
    <s v="Copperfield Electrical"/>
    <s v="Core Platform"/>
    <x v="12"/>
    <n v="62000"/>
    <x v="23"/>
    <x v="2"/>
  </r>
  <r>
    <x v="19"/>
    <s v="Maple Grove Maintenance"/>
    <s v="analytics"/>
    <x v="4"/>
    <n v="35000"/>
    <x v="19"/>
    <x v="0"/>
  </r>
  <r>
    <x v="11"/>
    <s v="Sandstone Roofing"/>
    <s v="Core Platform"/>
    <x v="7"/>
    <n v="66000"/>
    <x v="11"/>
    <x v="2"/>
  </r>
  <r>
    <x v="25"/>
    <s v="Silverline Rail"/>
    <s v="Core"/>
    <x v="6"/>
    <n v="40000"/>
    <x v="25"/>
    <x v="2"/>
  </r>
  <r>
    <x v="6"/>
    <s v="Ridgeline HVAC"/>
    <s v="Core"/>
    <x v="4"/>
    <n v="111000"/>
    <x v="6"/>
    <x v="2"/>
  </r>
  <r>
    <x v="17"/>
    <s v="Lakeside Energy"/>
    <s v="Core"/>
    <x v="11"/>
    <n v="100000"/>
    <x v="17"/>
    <x v="2"/>
  </r>
  <r>
    <x v="33"/>
    <s v="Trailhead Equipment"/>
    <s v="analytics"/>
    <x v="6"/>
    <n v="25000"/>
    <x v="33"/>
    <x v="0"/>
  </r>
  <r>
    <x v="8"/>
    <s v="Blue Harbor Logistics"/>
    <s v="Core"/>
    <x v="0"/>
    <n v="72000"/>
    <x v="8"/>
    <x v="2"/>
  </r>
  <r>
    <x v="29"/>
    <s v="Orion Building Systems"/>
    <s v="Core Platform"/>
    <x v="7"/>
    <n v="49000"/>
    <x v="29"/>
    <x v="2"/>
  </r>
  <r>
    <x v="17"/>
    <s v="Lakeside Energy"/>
    <s v="Core"/>
    <x v="4"/>
    <n v="112000"/>
    <x v="17"/>
    <x v="2"/>
  </r>
  <r>
    <x v="11"/>
    <s v="Sandstone Roofing"/>
    <s v="Automation"/>
    <x v="3"/>
    <n v="11000"/>
    <x v="11"/>
    <x v="1"/>
  </r>
  <r>
    <x v="5"/>
    <s v="Granite State Mechanical"/>
    <s v="Core"/>
    <x v="10"/>
    <n v="79000"/>
    <x v="5"/>
    <x v="2"/>
  </r>
  <r>
    <x v="18"/>
    <s v="Cedar Peak Utilities"/>
    <s v="analytics"/>
    <x v="11"/>
    <n v="27000"/>
    <x v="18"/>
    <x v="0"/>
  </r>
  <r>
    <x v="9"/>
    <s v="Atlas Elevator Co"/>
    <s v="analytics"/>
    <x v="4"/>
    <n v="36000"/>
    <x v="9"/>
    <x v="0"/>
  </r>
  <r>
    <x v="27"/>
    <s v="Northwind Trading"/>
    <s v="Core Platform"/>
    <x v="4"/>
    <n v="117000"/>
    <x v="27"/>
    <x v="2"/>
  </r>
  <r>
    <x v="13"/>
    <s v="Fairwind Marine"/>
    <s v="Core Platform"/>
    <x v="0"/>
    <n v="88000"/>
    <x v="13"/>
    <x v="2"/>
  </r>
  <r>
    <x v="26"/>
    <s v="Vertex Manufacturing"/>
    <s v="Core Platform"/>
    <x v="12"/>
    <n v="85000"/>
    <x v="26"/>
    <x v="2"/>
  </r>
  <r>
    <x v="26"/>
    <s v="Vertex Manufacturing"/>
    <s v="Automation"/>
    <x v="2"/>
    <n v="9000"/>
    <x v="26"/>
    <x v="1"/>
  </r>
  <r>
    <x v="9"/>
    <s v="Atlas Elevator Co"/>
    <s v="analytics"/>
    <x v="9"/>
    <n v="28000"/>
    <x v="9"/>
    <x v="0"/>
  </r>
  <r>
    <x v="7"/>
    <s v="Kestrel Telecom"/>
    <s v="Core Platform"/>
    <x v="6"/>
    <n v="100000"/>
    <x v="7"/>
    <x v="2"/>
  </r>
  <r>
    <x v="29"/>
    <s v="Orion Building Systems"/>
    <s v="Core"/>
    <x v="0"/>
    <n v="49000"/>
    <x v="29"/>
    <x v="2"/>
  </r>
  <r>
    <x v="20"/>
    <s v="Quartz Data Centers"/>
    <s v="Core"/>
    <x v="0"/>
    <n v="69000"/>
    <x v="20"/>
    <x v="2"/>
  </r>
  <r>
    <x v="12"/>
    <s v="Halcyon Pharma"/>
    <s v="Core Platform"/>
    <x v="6"/>
    <n v="33000"/>
    <x v="12"/>
    <x v="2"/>
  </r>
  <r>
    <x v="17"/>
    <s v="Lakeside Energy"/>
    <s v="Core Platform"/>
    <x v="6"/>
    <n v="112000"/>
    <x v="17"/>
    <x v="2"/>
  </r>
  <r>
    <x v="3"/>
    <s v="Willowbrook Care"/>
    <s v="Core Platform"/>
    <x v="4"/>
    <n v="79000"/>
    <x v="3"/>
    <x v="2"/>
  </r>
  <r>
    <x v="14"/>
    <s v="Foundry Industrial"/>
    <s v="Core"/>
    <x v="8"/>
    <n v="60000"/>
    <x v="14"/>
    <x v="2"/>
  </r>
  <r>
    <x v="15"/>
    <s v="Delta Refrigeration"/>
    <s v="analytics"/>
    <x v="1"/>
    <n v="21000"/>
    <x v="15"/>
    <x v="0"/>
  </r>
  <r>
    <x v="13"/>
    <s v="Fairwind Marine"/>
    <s v="Core"/>
    <x v="4"/>
    <n v="88000"/>
    <x v="13"/>
    <x v="2"/>
  </r>
  <r>
    <x v="15"/>
    <s v="Delta Refrigeration"/>
    <s v="analytics"/>
    <x v="10"/>
    <n v="17000"/>
    <x v="15"/>
    <x v="0"/>
  </r>
  <r>
    <x v="6"/>
    <s v="Ridgeline HVAC"/>
    <s v="Core Platform"/>
    <x v="12"/>
    <n v="111000"/>
    <x v="6"/>
    <x v="2"/>
  </r>
  <r>
    <x v="22"/>
    <s v="Redwood Field Services"/>
    <s v="analytics"/>
    <x v="11"/>
    <n v="23000"/>
    <x v="22"/>
    <x v="0"/>
  </r>
  <r>
    <x v="21"/>
    <s v="Everest Drilling"/>
    <s v="Core"/>
    <x v="1"/>
    <n v="52000"/>
    <x v="21"/>
    <x v="2"/>
  </r>
  <r>
    <x v="2"/>
    <s v="Pinecrest Property"/>
    <s v="Core Platform"/>
    <x v="7"/>
    <n v="118000"/>
    <x v="2"/>
    <x v="2"/>
  </r>
  <r>
    <x v="7"/>
    <s v="Kestrel Telecom"/>
    <s v="analytics"/>
    <x v="12"/>
    <n v="31000"/>
    <x v="7"/>
    <x v="0"/>
  </r>
  <r>
    <x v="17"/>
    <s v="Lakeside Energy"/>
    <s v="Automation"/>
    <x v="5"/>
    <n v="11000"/>
    <x v="17"/>
    <x v="1"/>
  </r>
  <r>
    <x v="0"/>
    <s v="Meridian Water Group"/>
    <s v="Automation"/>
    <x v="4"/>
    <n v="19000"/>
    <x v="0"/>
    <x v="1"/>
  </r>
  <r>
    <x v="0"/>
    <s v="Meridian Water Group"/>
    <s v="Analytics Add-On"/>
    <x v="5"/>
    <n v="24000"/>
    <x v="0"/>
    <x v="0"/>
  </r>
  <r>
    <x v="6"/>
    <s v="Ridgeline HVAC"/>
    <s v="Core Platform"/>
    <x v="11"/>
    <n v="111000"/>
    <x v="6"/>
    <x v="2"/>
  </r>
  <r>
    <x v="5"/>
    <s v="Granite State Mechanical"/>
    <s v="Automation"/>
    <x v="2"/>
    <n v="10000"/>
    <x v="5"/>
    <x v="1"/>
  </r>
  <r>
    <x v="2"/>
    <s v="Pinecrest Property"/>
    <s v="Automation"/>
    <x v="4"/>
    <n v="27000"/>
    <x v="2"/>
    <x v="1"/>
  </r>
  <r>
    <x v="14"/>
    <s v="Foundry Industrial"/>
    <s v="analytics"/>
    <x v="3"/>
    <n v="31000"/>
    <x v="14"/>
    <x v="0"/>
  </r>
  <r>
    <x v="5"/>
    <s v="Granite State Mechanical"/>
    <s v="analytics"/>
    <x v="10"/>
    <n v="30000"/>
    <x v="5"/>
    <x v="0"/>
  </r>
  <r>
    <x v="28"/>
    <s v="Sterling Facilities"/>
    <s v="Core"/>
    <x v="7"/>
    <n v="120000"/>
    <x v="28"/>
    <x v="2"/>
  </r>
  <r>
    <x v="6"/>
    <s v="Ridgeline HVAC"/>
    <s v="Core"/>
    <x v="1"/>
    <n v="132000"/>
    <x v="6"/>
    <x v="2"/>
  </r>
  <r>
    <x v="11"/>
    <s v="Sandstone Roofing"/>
    <s v="Core Platform"/>
    <x v="0"/>
    <n v="66000"/>
    <x v="11"/>
    <x v="2"/>
  </r>
  <r>
    <x v="27"/>
    <s v="Northwind Trading"/>
    <s v="analytics"/>
    <x v="8"/>
    <n v="27000"/>
    <x v="27"/>
    <x v="0"/>
  </r>
  <r>
    <x v="16"/>
    <s v="Harborview Plumbing"/>
    <s v="analytics"/>
    <x v="12"/>
    <n v="18000"/>
    <x v="16"/>
    <x v="0"/>
  </r>
  <r>
    <x v="26"/>
    <s v="Vertex Manufacturing"/>
    <s v="Automation "/>
    <x v="7"/>
    <n v="9000"/>
    <x v="26"/>
    <x v="1"/>
  </r>
  <r>
    <x v="15"/>
    <s v="Delta Refrigeration"/>
    <s v="Core"/>
    <x v="1"/>
    <n v="102000"/>
    <x v="15"/>
    <x v="2"/>
  </r>
  <r>
    <x v="0"/>
    <s v="Meridian Water Group"/>
    <s v="Core"/>
    <x v="8"/>
    <n v="85000"/>
    <x v="0"/>
    <x v="2"/>
  </r>
  <r>
    <x v="0"/>
    <s v="Meridian Water Group"/>
    <s v="Automation "/>
    <x v="5"/>
    <n v="19000"/>
    <x v="0"/>
    <x v="1"/>
  </r>
  <r>
    <x v="13"/>
    <s v="Fairwind Marine"/>
    <s v="Core Platform"/>
    <x v="8"/>
    <n v="88000"/>
    <x v="13"/>
    <x v="2"/>
  </r>
  <r>
    <x v="33"/>
    <s v="Trailhead Equipment"/>
    <s v="Analytics Add-On"/>
    <x v="1"/>
    <n v="25000"/>
    <x v="33"/>
    <x v="0"/>
  </r>
  <r>
    <x v="26"/>
    <s v="Vertex Manufacturing"/>
    <s v="Automation"/>
    <x v="3"/>
    <n v="9000"/>
    <x v="26"/>
    <x v="1"/>
  </r>
  <r>
    <x v="19"/>
    <s v="Maple Grove Maintenance"/>
    <s v="analytics"/>
    <x v="1"/>
    <n v="40000"/>
    <x v="19"/>
    <x v="0"/>
  </r>
  <r>
    <x v="16"/>
    <s v="Harborview Plumbing"/>
    <s v="analytics"/>
    <x v="0"/>
    <n v="22000"/>
    <x v="16"/>
    <x v="0"/>
  </r>
  <r>
    <x v="17"/>
    <s v="Lakeside Energy"/>
    <s v="Automation"/>
    <x v="12"/>
    <n v="11000"/>
    <x v="17"/>
    <x v="1"/>
  </r>
  <r>
    <x v="18"/>
    <s v="Cedar Peak Utilities"/>
    <s v="Core Platform"/>
    <x v="12"/>
    <n v="38000"/>
    <x v="18"/>
    <x v="2"/>
  </r>
  <r>
    <x v="15"/>
    <s v="Delta Refrigeration"/>
    <s v="Automation "/>
    <x v="6"/>
    <n v="22000"/>
    <x v="15"/>
    <x v="1"/>
  </r>
  <r>
    <x v="27"/>
    <s v="Northwind Trading"/>
    <s v="Core Platform"/>
    <x v="2"/>
    <n v="117000"/>
    <x v="27"/>
    <x v="2"/>
  </r>
  <r>
    <x v="19"/>
    <s v="Maple Grove Maintenance"/>
    <s v="analytics"/>
    <x v="5"/>
    <n v="35000"/>
    <x v="19"/>
    <x v="0"/>
  </r>
  <r>
    <x v="15"/>
    <s v="Delta Refrigeration"/>
    <s v="analytics"/>
    <x v="4"/>
    <n v="17000"/>
    <x v="15"/>
    <x v="0"/>
  </r>
  <r>
    <x v="33"/>
    <s v="Trailhead Equipment"/>
    <s v="Core"/>
    <x v="8"/>
    <n v="90000"/>
    <x v="33"/>
    <x v="2"/>
  </r>
  <r>
    <x v="16"/>
    <s v="Harborview Plumbing"/>
    <s v="Core"/>
    <x v="6"/>
    <n v="70000"/>
    <x v="16"/>
    <x v="2"/>
  </r>
  <r>
    <x v="28"/>
    <s v="Sterling Facilities"/>
    <s v="Core Platform"/>
    <x v="4"/>
    <n v="155000"/>
    <x v="28"/>
    <x v="2"/>
  </r>
  <r>
    <x v="1"/>
    <s v="Cobalt Networks"/>
    <s v="Automation"/>
    <x v="4"/>
    <n v="17000"/>
    <x v="1"/>
    <x v="1"/>
  </r>
  <r>
    <x v="0"/>
    <s v="Meridian Water Group"/>
    <s v="Automation"/>
    <x v="8"/>
    <n v="19000"/>
    <x v="0"/>
    <x v="1"/>
  </r>
  <r>
    <x v="24"/>
    <s v="Beacon Environmental"/>
    <s v="Automation"/>
    <x v="6"/>
    <n v="25000"/>
    <x v="24"/>
    <x v="1"/>
  </r>
  <r>
    <x v="9"/>
    <s v="Atlas Elevator Co  "/>
    <s v="Core Platform"/>
    <x v="10"/>
    <n v="60000"/>
    <x v="9"/>
    <x v="2"/>
  </r>
  <r>
    <x v="16"/>
    <s v="Harborview Plumbing"/>
    <s v="Core Platform"/>
    <x v="2"/>
    <n v="70000"/>
    <x v="16"/>
    <x v="2"/>
  </r>
  <r>
    <x v="6"/>
    <s v="Ridgeline HVAC"/>
    <s v="Core Platform"/>
    <x v="10"/>
    <n v="111000"/>
    <x v="6"/>
    <x v="2"/>
  </r>
  <r>
    <x v="18"/>
    <s v="Cedar Peak Utilities"/>
    <s v="analytics"/>
    <x v="7"/>
    <n v="22000"/>
    <x v="18"/>
    <x v="0"/>
  </r>
  <r>
    <x v="33"/>
    <s v="Trailhead Equipment"/>
    <s v="analytics"/>
    <x v="2"/>
    <n v="25000"/>
    <x v="33"/>
    <x v="0"/>
  </r>
  <r>
    <x v="3"/>
    <s v="Willowbrook Care"/>
    <s v="Core Platform"/>
    <x v="8"/>
    <n v="79000"/>
    <x v="3"/>
    <x v="2"/>
  </r>
  <r>
    <x v="35"/>
    <s v="Onyx Waste Solutions"/>
    <s v="Core"/>
    <x v="6"/>
    <n v="72000"/>
    <x v="35"/>
    <x v="2"/>
  </r>
  <r>
    <x v="9"/>
    <s v="Atlas Elevator Co"/>
    <s v="analytics"/>
    <x v="5"/>
    <n v="36000"/>
    <x v="9"/>
    <x v="0"/>
  </r>
  <r>
    <x v="7"/>
    <s v="Kestrel Telecom"/>
    <s v="Automation"/>
    <x v="8"/>
    <n v="22000"/>
    <x v="7"/>
    <x v="1"/>
  </r>
  <r>
    <x v="26"/>
    <s v="Vertex Manufacturing"/>
    <s v="Core"/>
    <x v="5"/>
    <n v="85000"/>
    <x v="26"/>
    <x v="2"/>
  </r>
  <r>
    <x v="16"/>
    <s v="Harborview Plumbing"/>
    <s v="analytics"/>
    <x v="8"/>
    <n v="22000"/>
    <x v="16"/>
    <x v="0"/>
  </r>
  <r>
    <x v="27"/>
    <s v="Northwind Trading"/>
    <s v="analytics"/>
    <x v="11"/>
    <n v="27000"/>
    <x v="27"/>
    <x v="0"/>
  </r>
  <r>
    <x v="10"/>
    <s v="Summit Fire Protection"/>
    <s v="Core Platform"/>
    <x v="7"/>
    <n v="77000"/>
    <x v="10"/>
    <x v="2"/>
  </r>
  <r>
    <x v="31"/>
    <s v="Brightway Solar"/>
    <s v="Core"/>
    <x v="10"/>
    <n v="73000"/>
    <x v="31"/>
    <x v="2"/>
  </r>
  <r>
    <x v="1"/>
    <s v="Cobalt Networks"/>
    <s v="Automation "/>
    <x v="8"/>
    <n v="17000"/>
    <x v="1"/>
    <x v="1"/>
  </r>
  <r>
    <x v="23"/>
    <s v="Copperfield Electrical"/>
    <s v="Core Platform"/>
    <x v="1"/>
    <n v="36000"/>
    <x v="23"/>
    <x v="2"/>
  </r>
  <r>
    <x v="2"/>
    <s v="Pinecrest Property"/>
    <s v="analytics"/>
    <x v="2"/>
    <n v="39000"/>
    <x v="2"/>
    <x v="0"/>
  </r>
  <r>
    <x v="11"/>
    <s v="Sandstone Roofing"/>
    <s v="Core"/>
    <x v="5"/>
    <n v="66000"/>
    <x v="11"/>
    <x v="2"/>
  </r>
  <r>
    <x v="13"/>
    <s v="Fairwind Marine"/>
    <s v="analytics"/>
    <x v="4"/>
    <n v="19000"/>
    <x v="13"/>
    <x v="0"/>
  </r>
  <r>
    <x v="0"/>
    <s v="Meridian Water Group"/>
    <s v="Core"/>
    <x v="0"/>
    <n v="97000"/>
    <x v="0"/>
    <x v="2"/>
  </r>
  <r>
    <x v="9"/>
    <s v="Atlas Elevator Co  "/>
    <s v="Core Platform"/>
    <x v="5"/>
    <n v="60000"/>
    <x v="9"/>
    <x v="2"/>
  </r>
  <r>
    <x v="0"/>
    <s v="Meridian Water Group  "/>
    <s v="Analytics Add-On"/>
    <x v="3"/>
    <n v="24000"/>
    <x v="0"/>
    <x v="0"/>
  </r>
  <r>
    <x v="17"/>
    <s v="Lakeside Energy"/>
    <s v="analytics"/>
    <x v="4"/>
    <n v="26000"/>
    <x v="17"/>
    <x v="0"/>
  </r>
  <r>
    <x v="7"/>
    <s v="Kestrel Telecom"/>
    <s v="Automation"/>
    <x v="2"/>
    <n v="22000"/>
    <x v="7"/>
    <x v="1"/>
  </r>
  <r>
    <x v="0"/>
    <s v="Meridian Water Group"/>
    <s v="Automation"/>
    <x v="3"/>
    <n v="19000"/>
    <x v="0"/>
    <x v="1"/>
  </r>
  <r>
    <x v="2"/>
    <s v="Pinecrest Property"/>
    <s v="Analytics Add-On"/>
    <x v="9"/>
    <n v="39000"/>
    <x v="2"/>
    <x v="0"/>
  </r>
  <r>
    <x v="15"/>
    <s v="Delta Refrigeration"/>
    <s v="Automation "/>
    <x v="7"/>
    <n v="22000"/>
    <x v="15"/>
    <x v="1"/>
  </r>
  <r>
    <x v="22"/>
    <s v="Redwood Field Services"/>
    <s v="Core Platform"/>
    <x v="6"/>
    <n v="35000"/>
    <x v="22"/>
    <x v="2"/>
  </r>
  <r>
    <x v="9"/>
    <s v="Atlas Elevator Co"/>
    <s v="analytics"/>
    <x v="10"/>
    <n v="36000"/>
    <x v="9"/>
    <x v="0"/>
  </r>
  <r>
    <x v="5"/>
    <s v="Granite State Mechanical"/>
    <s v="Automation "/>
    <x v="8"/>
    <n v="10000"/>
    <x v="5"/>
    <x v="1"/>
  </r>
  <r>
    <x v="4"/>
    <s v="Ironclad Security"/>
    <s v="Core"/>
    <x v="4"/>
    <n v="90000"/>
    <x v="4"/>
    <x v="2"/>
  </r>
  <r>
    <x v="8"/>
    <s v="Blue Harbor Logistics"/>
    <s v="Core"/>
    <x v="11"/>
    <n v="47000"/>
    <x v="8"/>
    <x v="2"/>
  </r>
  <r>
    <x v="21"/>
    <s v="Everest Drilling"/>
    <s v="analytics"/>
    <x v="4"/>
    <n v="18000"/>
    <x v="21"/>
    <x v="0"/>
  </r>
  <r>
    <x v="11"/>
    <s v="Sandstone Roofing"/>
    <s v="Core Platform"/>
    <x v="6"/>
    <n v="66000"/>
    <x v="11"/>
    <x v="2"/>
  </r>
  <r>
    <x v="24"/>
    <s v="Beacon Environmental"/>
    <s v="Automation "/>
    <x v="3"/>
    <n v="19000"/>
    <x v="24"/>
    <x v="1"/>
  </r>
  <r>
    <x v="19"/>
    <s v="Maple Grove Maintenance  "/>
    <s v="Core"/>
    <x v="5"/>
    <n v="63000"/>
    <x v="19"/>
    <x v="2"/>
  </r>
  <r>
    <x v="17"/>
    <s v="Lakeside Energy"/>
    <s v="Core Platform"/>
    <x v="10"/>
    <n v="112000"/>
    <x v="17"/>
    <x v="2"/>
  </r>
  <r>
    <x v="27"/>
    <s v="Northwind Trading"/>
    <s v="Automation"/>
    <x v="6"/>
    <n v="16000"/>
    <x v="27"/>
    <x v="1"/>
  </r>
  <r>
    <x v="6"/>
    <s v="Ridgeline HVAC"/>
    <s v="analytics"/>
    <x v="1"/>
    <n v="15000"/>
    <x v="6"/>
    <x v="0"/>
  </r>
  <r>
    <x v="15"/>
    <s v="Delta Refrigeration"/>
    <s v="analytics"/>
    <x v="11"/>
    <n v="17000"/>
    <x v="15"/>
    <x v="0"/>
  </r>
  <r>
    <x v="2"/>
    <s v="Pinecrest Property"/>
    <s v="Automation"/>
    <x v="12"/>
    <n v="24000"/>
    <x v="2"/>
    <x v="1"/>
  </r>
  <r>
    <x v="22"/>
    <s v="Redwood Field Services"/>
    <s v="Core Platform"/>
    <x v="12"/>
    <n v="35000"/>
    <x v="22"/>
    <x v="2"/>
  </r>
  <r>
    <x v="0"/>
    <s v="Meridian Water Group"/>
    <s v="analytics"/>
    <x v="7"/>
    <n v="24000"/>
    <x v="0"/>
    <x v="0"/>
  </r>
  <r>
    <x v="16"/>
    <s v="Harborview Plumbing"/>
    <s v="Automation"/>
    <x v="2"/>
    <n v="27000"/>
    <x v="16"/>
    <x v="1"/>
  </r>
  <r>
    <x v="29"/>
    <s v="Orion Building Systems"/>
    <s v="Core Platform"/>
    <x v="1"/>
    <n v="49000"/>
    <x v="29"/>
    <x v="2"/>
  </r>
  <r>
    <x v="10"/>
    <s v="Summit Fire Protection"/>
    <s v="Core"/>
    <x v="9"/>
    <n v="77000"/>
    <x v="10"/>
    <x v="2"/>
  </r>
  <r>
    <x v="11"/>
    <s v="Sandstone Roofing"/>
    <s v="Core Platform"/>
    <x v="3"/>
    <n v="66000"/>
    <x v="11"/>
    <x v="2"/>
  </r>
  <r>
    <x v="3"/>
    <s v="Willowbrook Care"/>
    <s v="Core Platform"/>
    <x v="0"/>
    <n v="79000"/>
    <x v="3"/>
    <x v="2"/>
  </r>
  <r>
    <x v="2"/>
    <s v="Pinecrest Property"/>
    <s v="Core Platform"/>
    <x v="12"/>
    <n v="118000"/>
    <x v="2"/>
    <x v="2"/>
  </r>
  <r>
    <x v="0"/>
    <s v="Meridian Water Group"/>
    <s v="Automation"/>
    <x v="12"/>
    <n v="19000"/>
    <x v="0"/>
    <x v="1"/>
  </r>
  <r>
    <x v="19"/>
    <s v="Maple Grove Maintenance"/>
    <s v="Core"/>
    <x v="10"/>
    <n v="63000"/>
    <x v="19"/>
    <x v="2"/>
  </r>
  <r>
    <x v="26"/>
    <s v="Vertex Manufacturing  "/>
    <s v="Core Platform"/>
    <x v="3"/>
    <n v="85000"/>
    <x v="26"/>
    <x v="2"/>
  </r>
  <r>
    <x v="21"/>
    <s v="Everest Drilling"/>
    <s v="analytics"/>
    <x v="3"/>
    <n v="18000"/>
    <x v="21"/>
    <x v="0"/>
  </r>
  <r>
    <x v="17"/>
    <s v="Lakeside Energy"/>
    <s v="analytics"/>
    <x v="12"/>
    <n v="26000"/>
    <x v="17"/>
    <x v="0"/>
  </r>
  <r>
    <x v="16"/>
    <s v="Harborview Plumbing"/>
    <s v="Automation"/>
    <x v="8"/>
    <n v="27000"/>
    <x v="16"/>
    <x v="1"/>
  </r>
  <r>
    <x v="4"/>
    <s v="Ironclad Security"/>
    <s v="analytics"/>
    <x v="2"/>
    <n v="45000"/>
    <x v="4"/>
    <x v="0"/>
  </r>
  <r>
    <x v="22"/>
    <s v="Redwood Field Services  "/>
    <s v="analytics"/>
    <x v="8"/>
    <n v="23000"/>
    <x v="22"/>
    <x v="0"/>
  </r>
  <r>
    <x v="7"/>
    <s v="Kestrel Telecom"/>
    <s v="Core Platform"/>
    <x v="1"/>
    <n v="100000"/>
    <x v="7"/>
    <x v="2"/>
  </r>
  <r>
    <x v="14"/>
    <s v="Foundry Industrial"/>
    <s v="Core"/>
    <x v="7"/>
    <n v="60000"/>
    <x v="14"/>
    <x v="2"/>
  </r>
  <r>
    <x v="16"/>
    <s v="Harborview Plumbing"/>
    <s v="Automation"/>
    <x v="0"/>
    <n v="27000"/>
    <x v="16"/>
    <x v="1"/>
  </r>
  <r>
    <x v="7"/>
    <s v="Kestrel Telecom"/>
    <s v="Automation"/>
    <x v="6"/>
    <n v="22000"/>
    <x v="7"/>
    <x v="1"/>
  </r>
  <r>
    <x v="2"/>
    <s v="Pinecrest Property"/>
    <s v="Automation "/>
    <x v="6"/>
    <n v="27000"/>
    <x v="2"/>
    <x v="1"/>
  </r>
  <r>
    <x v="16"/>
    <s v="Harborview Plumbing"/>
    <s v="analytics"/>
    <x v="9"/>
    <n v="18000"/>
    <x v="16"/>
    <x v="0"/>
  </r>
  <r>
    <x v="6"/>
    <s v="Ridgeline HVAC"/>
    <s v="Core"/>
    <x v="2"/>
    <n v="132000"/>
    <x v="6"/>
    <x v="2"/>
  </r>
  <r>
    <x v="27"/>
    <s v="Northwind Trading"/>
    <s v="Analytics Add-On"/>
    <x v="7"/>
    <n v="27000"/>
    <x v="27"/>
    <x v="0"/>
  </r>
  <r>
    <x v="26"/>
    <s v="Vertex Manufacturing"/>
    <s v="Analytics Add-On"/>
    <x v="2"/>
    <n v="27000"/>
    <x v="26"/>
    <x v="0"/>
  </r>
  <r>
    <x v="26"/>
    <s v="Vertex Manufacturing"/>
    <s v="Automation"/>
    <x v="10"/>
    <n v="9000"/>
    <x v="26"/>
    <x v="1"/>
  </r>
  <r>
    <x v="19"/>
    <s v="Maple Grove Maintenance"/>
    <s v="Core Platform"/>
    <x v="3"/>
    <n v="73000"/>
    <x v="19"/>
    <x v="2"/>
  </r>
  <r>
    <x v="27"/>
    <s v="Northwind Trading"/>
    <s v="Core"/>
    <x v="1"/>
    <n v="117000"/>
    <x v="27"/>
    <x v="2"/>
  </r>
  <r>
    <x v="19"/>
    <s v="Maple Grove Maintenance"/>
    <s v="analytics"/>
    <x v="10"/>
    <n v="35000"/>
    <x v="19"/>
    <x v="0"/>
  </r>
  <r>
    <x v="15"/>
    <s v="Delta Refrigeration"/>
    <s v="Automation"/>
    <x v="2"/>
    <n v="22000"/>
    <x v="15"/>
    <x v="1"/>
  </r>
  <r>
    <x v="17"/>
    <s v="Lakeside Energy"/>
    <s v="Automation"/>
    <x v="6"/>
    <n v="11000"/>
    <x v="17"/>
    <x v="1"/>
  </r>
  <r>
    <x v="4"/>
    <s v="Ironclad Security"/>
    <s v="Analytics Add-On"/>
    <x v="5"/>
    <n v="29000"/>
    <x v="4"/>
    <x v="0"/>
  </r>
  <r>
    <x v="2"/>
    <s v="Pinecrest Property"/>
    <s v="Automation"/>
    <x v="5"/>
    <n v="27000"/>
    <x v="2"/>
    <x v="1"/>
  </r>
  <r>
    <x v="4"/>
    <s v="Ironclad Security"/>
    <s v="Core Platform"/>
    <x v="3"/>
    <n v="90000"/>
    <x v="4"/>
    <x v="2"/>
  </r>
  <r>
    <x v="24"/>
    <s v="Beacon Environmental"/>
    <s v="Automation"/>
    <x v="0"/>
    <n v="19000"/>
    <x v="24"/>
    <x v="1"/>
  </r>
  <r>
    <x v="1"/>
    <s v="Cobalt Networks  "/>
    <s v="Core"/>
    <x v="4"/>
    <n v="70000"/>
    <x v="1"/>
    <x v="2"/>
  </r>
  <r>
    <x v="2"/>
    <s v="Pinecrest Property"/>
    <s v="analytics"/>
    <x v="3"/>
    <n v="39000"/>
    <x v="2"/>
    <x v="0"/>
  </r>
  <r>
    <x v="19"/>
    <s v="Maple Grove Maintenance"/>
    <s v="Core Platform"/>
    <x v="4"/>
    <n v="73000"/>
    <x v="19"/>
    <x v="2"/>
  </r>
  <r>
    <x v="0"/>
    <s v="Meridian Water Group"/>
    <s v="Automation"/>
    <x v="6"/>
    <n v="19000"/>
    <x v="0"/>
    <x v="1"/>
  </r>
  <r>
    <x v="19"/>
    <s v="Maple Grove Maintenance"/>
    <s v="Core Platform"/>
    <x v="2"/>
    <n v="73000"/>
    <x v="19"/>
    <x v="2"/>
  </r>
  <r>
    <x v="8"/>
    <s v="Blue Harbor Logistics"/>
    <s v="Core Platform"/>
    <x v="12"/>
    <n v="58000"/>
    <x v="8"/>
    <x v="2"/>
  </r>
  <r>
    <x v="27"/>
    <s v="Northwind Trading"/>
    <s v="analytics"/>
    <x v="6"/>
    <n v="33000"/>
    <x v="27"/>
    <x v="0"/>
  </r>
  <r>
    <x v="24"/>
    <s v="Beacon Environmental"/>
    <s v="Core Platform"/>
    <x v="1"/>
    <n v="95000"/>
    <x v="24"/>
    <x v="2"/>
  </r>
  <r>
    <x v="5"/>
    <s v="Granite State Mechanical"/>
    <s v="analytics"/>
    <x v="6"/>
    <n v="30000"/>
    <x v="5"/>
    <x v="0"/>
  </r>
  <r>
    <x v="2"/>
    <s v="Pinecrest Property"/>
    <s v="Core"/>
    <x v="1"/>
    <n v="118000"/>
    <x v="2"/>
    <x v="2"/>
  </r>
  <r>
    <x v="5"/>
    <s v="Granite State Mechanical"/>
    <s v="analytics"/>
    <x v="3"/>
    <n v="30000"/>
    <x v="5"/>
    <x v="0"/>
  </r>
  <r>
    <x v="22"/>
    <s v="Redwood Field Services"/>
    <s v="analytics"/>
    <x v="2"/>
    <n v="23000"/>
    <x v="22"/>
    <x v="0"/>
  </r>
  <r>
    <x v="7"/>
    <s v="Kestrel Telecom"/>
    <s v="Core"/>
    <x v="11"/>
    <n v="100000"/>
    <x v="7"/>
    <x v="2"/>
  </r>
  <r>
    <x v="28"/>
    <s v="Sterling Facilities"/>
    <s v="Core Platform"/>
    <x v="2"/>
    <n v="155000"/>
    <x v="28"/>
    <x v="2"/>
  </r>
  <r>
    <x v="27"/>
    <s v="Northwind Trading"/>
    <s v="analytics"/>
    <x v="12"/>
    <n v="27000"/>
    <x v="27"/>
    <x v="0"/>
  </r>
  <r>
    <x v="22"/>
    <s v="Redwood Field Services"/>
    <s v="analytics"/>
    <x v="12"/>
    <n v="23000"/>
    <x v="22"/>
    <x v="0"/>
  </r>
  <r>
    <x v="21"/>
    <s v="Everest Drilling"/>
    <s v="analytics"/>
    <x v="2"/>
    <n v="18000"/>
    <x v="21"/>
    <x v="0"/>
  </r>
  <r>
    <x v="1"/>
    <s v="Cobalt Networks"/>
    <s v="Core Platform"/>
    <x v="6"/>
    <n v="70000"/>
    <x v="1"/>
    <x v="2"/>
  </r>
  <r>
    <x v="14"/>
    <s v="Foundry Industrial"/>
    <s v="Automation"/>
    <x v="1"/>
    <n v="19000"/>
    <x v="14"/>
    <x v="1"/>
  </r>
  <r>
    <x v="13"/>
    <s v="Fairwind Marine"/>
    <s v="Analytics Add-On"/>
    <x v="2"/>
    <n v="19000"/>
    <x v="13"/>
    <x v="0"/>
  </r>
  <r>
    <x v="9"/>
    <s v="Atlas Elevator Co"/>
    <s v="analytics"/>
    <x v="0"/>
    <n v="36000"/>
    <x v="9"/>
    <x v="0"/>
  </r>
  <r>
    <x v="20"/>
    <s v="Quartz Data Centers"/>
    <s v="Core"/>
    <x v="1"/>
    <n v="87000"/>
    <x v="20"/>
    <x v="2"/>
  </r>
  <r>
    <x v="27"/>
    <s v="Northwind Trading"/>
    <s v="analytics"/>
    <x v="1"/>
    <n v="33000"/>
    <x v="27"/>
    <x v="0"/>
  </r>
  <r>
    <x v="7"/>
    <s v="Kestrel Telecom"/>
    <s v="Core"/>
    <x v="4"/>
    <n v="100000"/>
    <x v="7"/>
    <x v="2"/>
  </r>
  <r>
    <x v="14"/>
    <s v="Foundry Industrial"/>
    <s v="Core"/>
    <x v="11"/>
    <n v="60000"/>
    <x v="14"/>
    <x v="2"/>
  </r>
  <r>
    <x v="16"/>
    <s v="Harborview Plumbing"/>
    <s v="analytics"/>
    <x v="2"/>
    <n v="22000"/>
    <x v="16"/>
    <x v="0"/>
  </r>
  <r>
    <x v="19"/>
    <s v="Maple Grove Maintenance"/>
    <s v="analytics"/>
    <x v="7"/>
    <n v="35000"/>
    <x v="19"/>
    <x v="0"/>
  </r>
  <r>
    <x v="0"/>
    <s v="Meridian Water Group"/>
    <s v="Core"/>
    <x v="9"/>
    <n v="85000"/>
    <x v="0"/>
    <x v="2"/>
  </r>
  <r>
    <x v="5"/>
    <s v="Granite State Mechanical"/>
    <s v="analytics"/>
    <x v="7"/>
    <n v="30000"/>
    <x v="5"/>
    <x v="0"/>
  </r>
  <r>
    <x v="21"/>
    <s v="Everest Drilling"/>
    <s v="Automation"/>
    <x v="0"/>
    <n v="20000"/>
    <x v="21"/>
    <x v="1"/>
  </r>
  <r>
    <x v="7"/>
    <s v="Kestrel Telecom  "/>
    <s v="Core Platform"/>
    <x v="3"/>
    <n v="100000"/>
    <x v="7"/>
    <x v="2"/>
  </r>
  <r>
    <x v="0"/>
    <s v="Meridian Water Group"/>
    <s v="Core Platform"/>
    <x v="5"/>
    <n v="85000"/>
    <x v="0"/>
    <x v="2"/>
  </r>
  <r>
    <x v="11"/>
    <s v="Sandstone Roofing"/>
    <s v="analytics"/>
    <x v="3"/>
    <n v="17000"/>
    <x v="11"/>
    <x v="0"/>
  </r>
  <r>
    <x v="24"/>
    <s v="Beacon Environmental"/>
    <s v="Analytics Add-On"/>
    <x v="0"/>
    <n v="19000"/>
    <x v="24"/>
    <x v="0"/>
  </r>
  <r>
    <x v="1"/>
    <s v="Cobalt Networks"/>
    <s v="Automation "/>
    <x v="6"/>
    <n v="17000"/>
    <x v="1"/>
    <x v="1"/>
  </r>
  <r>
    <x v="22"/>
    <s v="Redwood Field Services"/>
    <s v="Automation"/>
    <x v="1"/>
    <n v="18000"/>
    <x v="22"/>
    <x v="1"/>
  </r>
  <r>
    <x v="4"/>
    <s v="Ironclad Security"/>
    <s v="analytics"/>
    <x v="8"/>
    <n v="29000"/>
    <x v="4"/>
    <x v="0"/>
  </r>
  <r>
    <x v="15"/>
    <s v="Delta Refrigeration"/>
    <s v="Automation"/>
    <x v="5"/>
    <n v="22000"/>
    <x v="15"/>
    <x v="1"/>
  </r>
  <r>
    <x v="5"/>
    <s v="Granite State Mechanical"/>
    <s v="Core"/>
    <x v="7"/>
    <n v="79000"/>
    <x v="5"/>
    <x v="2"/>
  </r>
  <r>
    <x v="24"/>
    <s v="Beacon Environmental"/>
    <s v="Core Platform"/>
    <x v="0"/>
    <n v="95000"/>
    <x v="24"/>
    <x v="2"/>
  </r>
  <r>
    <x v="35"/>
    <s v="Onyx Waste Solutions"/>
    <s v="Core Platform"/>
    <x v="1"/>
    <n v="72000"/>
    <x v="35"/>
    <x v="2"/>
  </r>
  <r>
    <x v="22"/>
    <s v="Redwood Field Services"/>
    <s v="Core Platform"/>
    <x v="10"/>
    <n v="35000"/>
    <x v="22"/>
    <x v="2"/>
  </r>
  <r>
    <x v="7"/>
    <s v="Kestrel Telecom"/>
    <s v="analytics"/>
    <x v="3"/>
    <n v="38000"/>
    <x v="7"/>
    <x v="0"/>
  </r>
  <r>
    <x v="16"/>
    <s v="Harborview Plumbing"/>
    <s v="Core"/>
    <x v="1"/>
    <n v="70000"/>
    <x v="16"/>
    <x v="2"/>
  </r>
  <r>
    <x v="6"/>
    <s v="Ridgeline HVAC"/>
    <s v="Core Platform"/>
    <x v="9"/>
    <n v="111000"/>
    <x v="6"/>
    <x v="2"/>
  </r>
  <r>
    <x v="7"/>
    <s v="Kestrel Telecom"/>
    <s v="analytics"/>
    <x v="7"/>
    <n v="38000"/>
    <x v="7"/>
    <x v="0"/>
  </r>
  <r>
    <x v="0"/>
    <s v="Meridian Water Group"/>
    <s v="Automation"/>
    <x v="2"/>
    <n v="19000"/>
    <x v="0"/>
    <x v="1"/>
  </r>
  <r>
    <x v="11"/>
    <s v="Sandstone Roofing"/>
    <s v="Automation"/>
    <x v="0"/>
    <n v="11000"/>
    <x v="11"/>
    <x v="1"/>
  </r>
  <r>
    <x v="15"/>
    <s v="Delta Refrigeration"/>
    <s v="Analytics Add-On"/>
    <x v="3"/>
    <n v="17000"/>
    <x v="15"/>
    <x v="0"/>
  </r>
  <r>
    <x v="1"/>
    <s v="Cobalt Networks"/>
    <s v="Analytics Add-On"/>
    <x v="8"/>
    <n v="35000"/>
    <x v="1"/>
    <x v="0"/>
  </r>
  <r>
    <x v="26"/>
    <s v="Vertex Manufacturing"/>
    <s v="Core Platform"/>
    <x v="0"/>
    <n v="85000"/>
    <x v="26"/>
    <x v="2"/>
  </r>
  <r>
    <x v="11"/>
    <s v="Sandstone Roofing"/>
    <s v="Automation "/>
    <x v="2"/>
    <n v="11000"/>
    <x v="11"/>
    <x v="1"/>
  </r>
  <r>
    <x v="23"/>
    <s v="Copperfield Electrical"/>
    <s v="Core Platform"/>
    <x v="4"/>
    <n v="46000"/>
    <x v="23"/>
    <x v="2"/>
  </r>
  <r>
    <x v="14"/>
    <s v="Foundry Industrial"/>
    <s v="analytics"/>
    <x v="8"/>
    <n v="26000"/>
    <x v="14"/>
    <x v="0"/>
  </r>
  <r>
    <x v="6"/>
    <s v="Ridgeline HVAC"/>
    <s v="Analytics Add-On"/>
    <x v="6"/>
    <n v="15000"/>
    <x v="6"/>
    <x v="0"/>
  </r>
  <r>
    <x v="19"/>
    <s v="Maple Grove Maintenance"/>
    <s v="Analytics Add-On"/>
    <x v="6"/>
    <n v="40000"/>
    <x v="19"/>
    <x v="0"/>
  </r>
  <r>
    <x v="9"/>
    <s v="Atlas Elevator Co"/>
    <s v="analytics"/>
    <x v="2"/>
    <n v="36000"/>
    <x v="9"/>
    <x v="0"/>
  </r>
  <r>
    <x v="15"/>
    <s v="Delta Refrigeration"/>
    <s v="Core"/>
    <x v="5"/>
    <n v="102000"/>
    <x v="15"/>
    <x v="2"/>
  </r>
  <r>
    <x v="2"/>
    <s v="Pinecrest Property"/>
    <s v="Automation"/>
    <x v="10"/>
    <n v="27000"/>
    <x v="2"/>
    <x v="1"/>
  </r>
  <r>
    <x v="27"/>
    <s v="Northwind Trading"/>
    <s v="analytics"/>
    <x v="9"/>
    <n v="27000"/>
    <x v="27"/>
    <x v="0"/>
  </r>
  <r>
    <x v="0"/>
    <s v="Meridian Water Group"/>
    <s v="analytics"/>
    <x v="4"/>
    <n v="24000"/>
    <x v="0"/>
    <x v="0"/>
  </r>
  <r>
    <x v="13"/>
    <s v="Fairwind Marine"/>
    <s v="analytics"/>
    <x v="8"/>
    <n v="15000"/>
    <x v="13"/>
    <x v="0"/>
  </r>
  <r>
    <x v="1"/>
    <s v="Cobalt Networks"/>
    <s v="Core"/>
    <x v="8"/>
    <n v="70000"/>
    <x v="1"/>
    <x v="2"/>
  </r>
  <r>
    <x v="4"/>
    <s v="Ironclad Security"/>
    <s v="Automation "/>
    <x v="6"/>
    <n v="10000"/>
    <x v="4"/>
    <x v="1"/>
  </r>
  <r>
    <x v="2"/>
    <s v="Pinecrest Property"/>
    <s v="analytics"/>
    <x v="6"/>
    <n v="39000"/>
    <x v="2"/>
    <x v="0"/>
  </r>
  <r>
    <x v="16"/>
    <s v="Harborview Plumbing  "/>
    <s v="Core Platform"/>
    <x v="12"/>
    <n v="70000"/>
    <x v="16"/>
    <x v="2"/>
  </r>
  <r>
    <x v="11"/>
    <s v="Sandstone Roofing"/>
    <s v="Automation"/>
    <x v="1"/>
    <n v="11000"/>
    <x v="11"/>
    <x v="1"/>
  </r>
  <r>
    <x v="18"/>
    <s v="Cedar Peak Utilities  "/>
    <s v="Automation"/>
    <x v="11"/>
    <n v="21000"/>
    <x v="18"/>
    <x v="1"/>
  </r>
  <r>
    <x v="6"/>
    <s v="Ridgeline HVAC"/>
    <s v="Core"/>
    <x v="6"/>
    <n v="132000"/>
    <x v="6"/>
    <x v="2"/>
  </r>
  <r>
    <x v="32"/>
    <s v="Riverbend Agriculture"/>
    <s v="Automation"/>
    <x v="1"/>
    <n v="19000"/>
    <x v="32"/>
    <x v="1"/>
  </r>
  <r>
    <x v="17"/>
    <s v="Lakeside Energy  "/>
    <s v="Analytics Add-On"/>
    <x v="6"/>
    <n v="26000"/>
    <x v="17"/>
    <x v="0"/>
  </r>
  <r>
    <x v="23"/>
    <s v="Copperfield Electrical"/>
    <s v="Core Platform"/>
    <x v="11"/>
    <n v="62000"/>
    <x v="23"/>
    <x v="2"/>
  </r>
  <r>
    <x v="15"/>
    <s v="Delta Refrigeration  "/>
    <s v="Core Platform"/>
    <x v="7"/>
    <n v="102000"/>
    <x v="15"/>
    <x v="2"/>
  </r>
  <r>
    <x v="10"/>
    <s v="Summit Fire Protection"/>
    <s v="Core Platform"/>
    <x v="10"/>
    <n v="77000"/>
    <x v="10"/>
    <x v="2"/>
  </r>
  <r>
    <x v="25"/>
    <s v="Silverline Rail"/>
    <s v="Core Platform"/>
    <x v="2"/>
    <n v="40000"/>
    <x v="25"/>
    <x v="2"/>
  </r>
  <r>
    <x v="32"/>
    <s v="Riverbend Agriculture"/>
    <s v="Automation "/>
    <x v="6"/>
    <n v="19000"/>
    <x v="32"/>
    <x v="1"/>
  </r>
  <r>
    <x v="14"/>
    <s v="Foundry Industrial"/>
    <s v="analytics"/>
    <x v="1"/>
    <n v="31000"/>
    <x v="14"/>
    <x v="0"/>
  </r>
  <r>
    <x v="11"/>
    <s v="Sandstone Roofing"/>
    <s v="analytics"/>
    <x v="2"/>
    <n v="17000"/>
    <x v="11"/>
    <x v="0"/>
  </r>
  <r>
    <x v="29"/>
    <s v="Orion Building Systems"/>
    <s v="Core Platform"/>
    <x v="10"/>
    <n v="49000"/>
    <x v="29"/>
    <x v="2"/>
  </r>
  <r>
    <x v="4"/>
    <s v="Ironclad Security"/>
    <s v="Automation"/>
    <x v="8"/>
    <n v="10000"/>
    <x v="4"/>
    <x v="1"/>
  </r>
  <r>
    <x v="15"/>
    <s v="Delta Refrigeration"/>
    <s v="Core"/>
    <x v="6"/>
    <n v="102000"/>
    <x v="15"/>
    <x v="2"/>
  </r>
  <r>
    <x v="27"/>
    <s v="Northwind Trading"/>
    <s v="Core Platform"/>
    <x v="12"/>
    <n v="117000"/>
    <x v="27"/>
    <x v="2"/>
  </r>
  <r>
    <x v="24"/>
    <s v="Beacon Environmental"/>
    <s v="Analytics Add-On"/>
    <x v="1"/>
    <n v="19000"/>
    <x v="24"/>
    <x v="0"/>
  </r>
  <r>
    <x v="22"/>
    <s v="Redwood Field Services"/>
    <s v="Automation"/>
    <x v="8"/>
    <n v="18000"/>
    <x v="22"/>
    <x v="1"/>
  </r>
  <r>
    <x v="2"/>
    <s v="Pinecrest Property"/>
    <s v="Automation"/>
    <x v="0"/>
    <n v="27000"/>
    <x v="2"/>
    <x v="1"/>
  </r>
  <r>
    <x v="28"/>
    <s v="Sterling Facilities  "/>
    <s v="Core Platform"/>
    <x v="12"/>
    <n v="120000"/>
    <x v="28"/>
    <x v="2"/>
  </r>
  <r>
    <x v="0"/>
    <s v="Meridian Water Group"/>
    <s v="Automation"/>
    <x v="0"/>
    <n v="19000"/>
    <x v="0"/>
    <x v="1"/>
  </r>
  <r>
    <x v="23"/>
    <s v="Copperfield Electrical"/>
    <s v="Core Platform"/>
    <x v="8"/>
    <n v="62000"/>
    <x v="23"/>
    <x v="2"/>
  </r>
  <r>
    <x v="27"/>
    <s v="Northwind Trading"/>
    <s v="Automation"/>
    <x v="4"/>
    <n v="16000"/>
    <x v="27"/>
    <x v="1"/>
  </r>
  <r>
    <x v="2"/>
    <s v="Pinecrest Property"/>
    <s v="analytics"/>
    <x v="8"/>
    <n v="39000"/>
    <x v="2"/>
    <x v="0"/>
  </r>
  <r>
    <x v="21"/>
    <s v="Everest Drilling"/>
    <s v="Automation"/>
    <x v="2"/>
    <n v="20000"/>
    <x v="21"/>
    <x v="1"/>
  </r>
  <r>
    <x v="2"/>
    <s v="Pinecrest Property"/>
    <s v="analytics"/>
    <x v="0"/>
    <n v="39000"/>
    <x v="2"/>
    <x v="0"/>
  </r>
  <r>
    <x v="32"/>
    <s v="Riverbend Agriculture"/>
    <s v="Core Platform"/>
    <x v="6"/>
    <n v="71000"/>
    <x v="32"/>
    <x v="2"/>
  </r>
  <r>
    <x v="27"/>
    <s v="Northwind Trading"/>
    <s v="Core Platform"/>
    <x v="6"/>
    <n v="117000"/>
    <x v="27"/>
    <x v="2"/>
  </r>
  <r>
    <x v="22"/>
    <s v="Redwood Field Services"/>
    <s v="Core Platform"/>
    <x v="3"/>
    <n v="35000"/>
    <x v="22"/>
    <x v="2"/>
  </r>
  <r>
    <x v="2"/>
    <s v="Pinecrest Property"/>
    <s v="Core Platform"/>
    <x v="5"/>
    <n v="118000"/>
    <x v="2"/>
    <x v="2"/>
  </r>
  <r>
    <x v="4"/>
    <s v="Ironclad Security"/>
    <s v="analytics"/>
    <x v="6"/>
    <n v="45000"/>
    <x v="4"/>
    <x v="0"/>
  </r>
  <r>
    <x v="8"/>
    <s v="Blue Harbor Logistics"/>
    <s v="Core"/>
    <x v="4"/>
    <n v="72000"/>
    <x v="8"/>
    <x v="2"/>
  </r>
  <r>
    <x v="29"/>
    <s v="Orion Building Systems"/>
    <s v="Core Platform"/>
    <x v="3"/>
    <n v="49000"/>
    <x v="29"/>
    <x v="2"/>
  </r>
  <r>
    <x v="2"/>
    <s v="Pinecrest Property"/>
    <s v="Core Platform"/>
    <x v="11"/>
    <n v="118000"/>
    <x v="2"/>
    <x v="2"/>
  </r>
  <r>
    <x v="18"/>
    <s v="Cedar Peak Utilities"/>
    <s v="Core Platform"/>
    <x v="9"/>
    <n v="38000"/>
    <x v="18"/>
    <x v="2"/>
  </r>
  <r>
    <x v="8"/>
    <s v="Blue Harbor Logistics"/>
    <s v="Core Platform"/>
    <x v="2"/>
    <n v="72000"/>
    <x v="8"/>
    <x v="2"/>
  </r>
  <r>
    <x v="2"/>
    <s v="Pinecrest Property"/>
    <s v="Automation "/>
    <x v="8"/>
    <n v="27000"/>
    <x v="2"/>
    <x v="1"/>
  </r>
  <r>
    <x v="22"/>
    <s v="Redwood Field Services"/>
    <s v="Core"/>
    <x v="0"/>
    <n v="35000"/>
    <x v="22"/>
    <x v="2"/>
  </r>
  <r>
    <x v="26"/>
    <s v="Vertex Manufacturing"/>
    <s v="Core Platform"/>
    <x v="1"/>
    <n v="85000"/>
    <x v="26"/>
    <x v="2"/>
  </r>
  <r>
    <x v="14"/>
    <s v="Foundry Industrial"/>
    <s v="Automation"/>
    <x v="0"/>
    <n v="19000"/>
    <x v="14"/>
    <x v="1"/>
  </r>
  <r>
    <x v="8"/>
    <s v="Blue Harbor Logistics"/>
    <s v="Core"/>
    <x v="1"/>
    <n v="72000"/>
    <x v="8"/>
    <x v="2"/>
  </r>
  <r>
    <x v="22"/>
    <s v="Redwood Field Services"/>
    <s v="Automation"/>
    <x v="12"/>
    <n v="18000"/>
    <x v="22"/>
    <x v="1"/>
  </r>
  <r>
    <x v="33"/>
    <s v="Trailhead Equipment"/>
    <s v="Core"/>
    <x v="3"/>
    <n v="105000"/>
    <x v="33"/>
    <x v="2"/>
  </r>
  <r>
    <x v="22"/>
    <s v="Redwood Field Services"/>
    <s v="Automation"/>
    <x v="0"/>
    <n v="18000"/>
    <x v="22"/>
    <x v="1"/>
  </r>
  <r>
    <x v="29"/>
    <s v="Orion Building Systems"/>
    <s v="Core Platform"/>
    <x v="6"/>
    <n v="49000"/>
    <x v="29"/>
    <x v="2"/>
  </r>
  <r>
    <x v="4"/>
    <s v="Ironclad Security"/>
    <s v="Core Platform"/>
    <x v="9"/>
    <n v="90000"/>
    <x v="4"/>
    <x v="2"/>
  </r>
  <r>
    <x v="5"/>
    <s v="Granite State Mechanical"/>
    <s v="analytics"/>
    <x v="5"/>
    <n v="30000"/>
    <x v="5"/>
    <x v="0"/>
  </r>
  <r>
    <x v="4"/>
    <s v="Ironclad Security"/>
    <s v="Core Platform"/>
    <x v="10"/>
    <n v="90000"/>
    <x v="4"/>
    <x v="2"/>
  </r>
  <r>
    <x v="31"/>
    <s v="Brightway Solar"/>
    <s v="Core Platform"/>
    <x v="9"/>
    <n v="73000"/>
    <x v="31"/>
    <x v="2"/>
  </r>
  <r>
    <x v="27"/>
    <s v="Northwind Trading"/>
    <s v="analytics"/>
    <x v="5"/>
    <n v="27000"/>
    <x v="27"/>
    <x v="0"/>
  </r>
  <r>
    <x v="4"/>
    <s v="Ironclad Security"/>
    <s v="Automation"/>
    <x v="5"/>
    <n v="10000"/>
    <x v="4"/>
    <x v="1"/>
  </r>
  <r>
    <x v="5"/>
    <s v="Granite State Mechanical"/>
    <s v="Automation"/>
    <x v="12"/>
    <n v="10000"/>
    <x v="5"/>
    <x v="1"/>
  </r>
  <r>
    <x v="22"/>
    <s v="Redwood Field Services"/>
    <s v="Automation"/>
    <x v="5"/>
    <n v="18000"/>
    <x v="22"/>
    <x v="1"/>
  </r>
  <r>
    <x v="14"/>
    <s v="Foundry Industrial"/>
    <s v="Core Platform"/>
    <x v="0"/>
    <n v="60000"/>
    <x v="14"/>
    <x v="2"/>
  </r>
  <r>
    <x v="29"/>
    <s v="Orion Building Systems"/>
    <s v="analytics"/>
    <x v="6"/>
    <n v="17000"/>
    <x v="29"/>
    <x v="0"/>
  </r>
  <r>
    <x v="1"/>
    <s v="Cobalt Networks"/>
    <s v="Automation "/>
    <x v="1"/>
    <n v="17000"/>
    <x v="1"/>
    <x v="1"/>
  </r>
  <r>
    <x v="15"/>
    <s v="Delta Refrigeration"/>
    <s v="Automation "/>
    <x v="4"/>
    <n v="22000"/>
    <x v="15"/>
    <x v="1"/>
  </r>
  <r>
    <x v="20"/>
    <s v="Quartz Data Centers"/>
    <s v="Core Platform"/>
    <x v="6"/>
    <n v="87000"/>
    <x v="20"/>
    <x v="2"/>
  </r>
  <r>
    <x v="8"/>
    <s v="Blue Harbor Logistics"/>
    <s v="Automation"/>
    <x v="0"/>
    <n v="10000"/>
    <x v="8"/>
    <x v="1"/>
  </r>
  <r>
    <x v="16"/>
    <s v="Harborview Plumbing"/>
    <s v="analytics"/>
    <x v="3"/>
    <n v="22000"/>
    <x v="16"/>
    <x v="0"/>
  </r>
  <r>
    <x v="0"/>
    <s v="Meridian Water Group"/>
    <s v="Core"/>
    <x v="7"/>
    <n v="85000"/>
    <x v="0"/>
    <x v="2"/>
  </r>
  <r>
    <x v="26"/>
    <s v="Vertex Manufacturing"/>
    <s v="Automation"/>
    <x v="11"/>
    <n v="9000"/>
    <x v="26"/>
    <x v="1"/>
  </r>
  <r>
    <x v="19"/>
    <s v="Maple Grove Maintenance"/>
    <s v="Analytics Add-On"/>
    <x v="3"/>
    <n v="35000"/>
    <x v="19"/>
    <x v="0"/>
  </r>
  <r>
    <x v="1"/>
    <s v="Cobalt Networks"/>
    <s v="Core"/>
    <x v="5"/>
    <n v="70000"/>
    <x v="1"/>
    <x v="2"/>
  </r>
  <r>
    <x v="17"/>
    <s v="Lakeside Energy"/>
    <s v="Automation"/>
    <x v="2"/>
    <n v="11000"/>
    <x v="17"/>
    <x v="1"/>
  </r>
  <r>
    <x v="14"/>
    <s v="Foundry Industrial"/>
    <s v="Automation"/>
    <x v="2"/>
    <n v="19000"/>
    <x v="14"/>
    <x v="1"/>
  </r>
  <r>
    <x v="2"/>
    <s v="Pinecrest Property"/>
    <s v="Core"/>
    <x v="0"/>
    <n v="118000"/>
    <x v="2"/>
    <x v="2"/>
  </r>
  <r>
    <x v="27"/>
    <s v="Northwind Trading"/>
    <s v="Core"/>
    <x v="0"/>
    <n v="117000"/>
    <x v="27"/>
    <x v="2"/>
  </r>
  <r>
    <x v="15"/>
    <s v="Delta Refrigeration"/>
    <s v="Automation"/>
    <x v="8"/>
    <n v="22000"/>
    <x v="15"/>
    <x v="1"/>
  </r>
  <r>
    <x v="27"/>
    <s v="Northwind Trading"/>
    <s v="Core Platform"/>
    <x v="11"/>
    <n v="117000"/>
    <x v="27"/>
    <x v="2"/>
  </r>
  <r>
    <x v="14"/>
    <s v="Foundry Industrial"/>
    <s v="Automation "/>
    <x v="10"/>
    <n v="19000"/>
    <x v="14"/>
    <x v="1"/>
  </r>
  <r>
    <x v="6"/>
    <s v="Ridgeline HVAC"/>
    <s v="Analytics Add-On"/>
    <x v="10"/>
    <n v="15000"/>
    <x v="6"/>
    <x v="0"/>
  </r>
  <r>
    <x v="7"/>
    <s v="Kestrel Telecom"/>
    <s v="analytics"/>
    <x v="6"/>
    <n v="38000"/>
    <x v="7"/>
    <x v="0"/>
  </r>
  <r>
    <x v="33"/>
    <s v="Trailhead Equipment"/>
    <s v="Automation"/>
    <x v="6"/>
    <n v="23000"/>
    <x v="33"/>
    <x v="1"/>
  </r>
  <r>
    <x v="16"/>
    <s v="Harborview Plumbing"/>
    <s v="analytics"/>
    <x v="6"/>
    <n v="22000"/>
    <x v="16"/>
    <x v="0"/>
  </r>
  <r>
    <x v="27"/>
    <s v="Northwind Trading"/>
    <s v="Automation"/>
    <x v="3"/>
    <n v="16000"/>
    <x v="27"/>
    <x v="1"/>
  </r>
  <r>
    <x v="9"/>
    <s v="Atlas Elevator Co"/>
    <s v="Core"/>
    <x v="12"/>
    <n v="60000"/>
    <x v="9"/>
    <x v="2"/>
  </r>
  <r>
    <x v="7"/>
    <s v="Kestrel Telecom"/>
    <s v="Automation "/>
    <x v="1"/>
    <n v="22000"/>
    <x v="7"/>
    <x v="1"/>
  </r>
  <r>
    <x v="12"/>
    <s v="Halcyon Pharma  "/>
    <s v="Core Platform"/>
    <x v="0"/>
    <n v="33000"/>
    <x v="12"/>
    <x v="2"/>
  </r>
  <r>
    <x v="4"/>
    <s v="Ironclad Security"/>
    <s v="Core"/>
    <x v="11"/>
    <n v="90000"/>
    <x v="4"/>
    <x v="2"/>
  </r>
  <r>
    <x v="7"/>
    <s v="Kestrel Telecom"/>
    <s v="Automation"/>
    <x v="5"/>
    <n v="22000"/>
    <x v="7"/>
    <x v="1"/>
  </r>
  <r>
    <x v="16"/>
    <s v="Harborview Plumbing"/>
    <s v="Automation"/>
    <x v="1"/>
    <n v="27000"/>
    <x v="16"/>
    <x v="1"/>
  </r>
  <r>
    <x v="22"/>
    <s v="Redwood Field Services"/>
    <s v="analytics"/>
    <x v="6"/>
    <n v="23000"/>
    <x v="22"/>
    <x v="0"/>
  </r>
  <r>
    <x v="5"/>
    <s v="Granite State Mechanical"/>
    <s v="analytics"/>
    <x v="9"/>
    <n v="30000"/>
    <x v="5"/>
    <x v="0"/>
  </r>
  <r>
    <x v="23"/>
    <s v="Copperfield Electrical"/>
    <s v="Core Platform"/>
    <x v="3"/>
    <n v="46000"/>
    <x v="23"/>
    <x v="2"/>
  </r>
  <r>
    <x v="18"/>
    <s v="Cedar Peak Utilities"/>
    <s v="Automation"/>
    <x v="12"/>
    <n v="21000"/>
    <x v="18"/>
    <x v="1"/>
  </r>
  <r>
    <x v="23"/>
    <s v="Copperfield Electrical"/>
    <s v="Core"/>
    <x v="7"/>
    <n v="62000"/>
    <x v="23"/>
    <x v="2"/>
  </r>
  <r>
    <x v="5"/>
    <s v="Granite State Mechanical"/>
    <s v="Core Platform"/>
    <x v="3"/>
    <n v="79000"/>
    <x v="5"/>
    <x v="2"/>
  </r>
  <r>
    <x v="2"/>
    <s v="Pinecrest Property"/>
    <s v="Analytics Add-On"/>
    <x v="10"/>
    <n v="39000"/>
    <x v="2"/>
    <x v="0"/>
  </r>
  <r>
    <x v="26"/>
    <s v="Vertex Manufacturing"/>
    <s v="Core"/>
    <x v="7"/>
    <n v="85000"/>
    <x v="26"/>
    <x v="2"/>
  </r>
  <r>
    <x v="19"/>
    <s v="Maple Grove Maintenance"/>
    <s v="Core Platform"/>
    <x v="9"/>
    <n v="63000"/>
    <x v="19"/>
    <x v="2"/>
  </r>
  <r>
    <x v="21"/>
    <s v="Everest Drilling"/>
    <s v="analytics"/>
    <x v="0"/>
    <n v="18000"/>
    <x v="21"/>
    <x v="0"/>
  </r>
  <r>
    <x v="16"/>
    <s v="Harborview Plumbing"/>
    <s v="Automation"/>
    <x v="9"/>
    <n v="27000"/>
    <x v="16"/>
    <x v="1"/>
  </r>
  <r>
    <x v="5"/>
    <s v="Granite State Mechanical"/>
    <s v="Core Platform"/>
    <x v="1"/>
    <n v="90000"/>
    <x v="5"/>
    <x v="2"/>
  </r>
  <r>
    <x v="8"/>
    <s v="Blue Harbor Logistics"/>
    <s v="Core Platform"/>
    <x v="8"/>
    <n v="72000"/>
    <x v="8"/>
    <x v="2"/>
  </r>
  <r>
    <x v="5"/>
    <s v="Granite State Mechanical"/>
    <s v="analytics"/>
    <x v="0"/>
    <n v="30000"/>
    <x v="5"/>
    <x v="0"/>
  </r>
  <r>
    <x v="17"/>
    <s v="Lakeside Energy"/>
    <s v="Automation"/>
    <x v="4"/>
    <n v="11000"/>
    <x v="17"/>
    <x v="1"/>
  </r>
  <r>
    <x v="21"/>
    <s v="Everest Drilling"/>
    <s v="Core Platform"/>
    <x v="6"/>
    <n v="52000"/>
    <x v="21"/>
    <x v="2"/>
  </r>
  <r>
    <x v="28"/>
    <s v="Sterling Facilities"/>
    <s v="Core"/>
    <x v="8"/>
    <n v="155000"/>
    <x v="28"/>
    <x v="2"/>
  </r>
  <r>
    <x v="2"/>
    <s v="Pinecrest Property"/>
    <s v="analytics"/>
    <x v="12"/>
    <n v="39000"/>
    <x v="2"/>
    <x v="0"/>
  </r>
  <r>
    <x v="22"/>
    <s v="Redwood Field Services"/>
    <s v="Automation"/>
    <x v="7"/>
    <n v="18000"/>
    <x v="22"/>
    <x v="1"/>
  </r>
  <r>
    <x v="25"/>
    <s v="Silverline Rail"/>
    <s v="Core Platform"/>
    <x v="1"/>
    <n v="40000"/>
    <x v="25"/>
    <x v="2"/>
  </r>
  <r>
    <x v="11"/>
    <s v="Sandstone Roofing"/>
    <s v="Analytics Add-On"/>
    <x v="10"/>
    <n v="17000"/>
    <x v="11"/>
    <x v="0"/>
  </r>
  <r>
    <x v="13"/>
    <s v="Fairwind Marine"/>
    <s v="analytics"/>
    <x v="3"/>
    <n v="19000"/>
    <x v="13"/>
    <x v="0"/>
  </r>
  <r>
    <x v="30"/>
    <s v="Timberline Landscaping"/>
    <s v="Core"/>
    <x v="0"/>
    <n v="44000"/>
    <x v="30"/>
    <x v="2"/>
  </r>
  <r>
    <x v="0"/>
    <s v="Meridian Water Group"/>
    <s v="Core Platform"/>
    <x v="10"/>
    <n v="85000"/>
    <x v="0"/>
    <x v="2"/>
  </r>
  <r>
    <x v="1"/>
    <s v="Cobalt Networks"/>
    <s v="Automation"/>
    <x v="2"/>
    <n v="17000"/>
    <x v="1"/>
    <x v="1"/>
  </r>
  <r>
    <x v="8"/>
    <s v="Blue Harbor Logistics"/>
    <s v="analytics"/>
    <x v="6"/>
    <n v="25000"/>
    <x v="8"/>
    <x v="0"/>
  </r>
  <r>
    <x v="16"/>
    <s v="Harborview Plumbing"/>
    <s v="analytics"/>
    <x v="4"/>
    <n v="22000"/>
    <x v="16"/>
    <x v="0"/>
  </r>
  <r>
    <x v="29"/>
    <s v="Orion Building Systems"/>
    <s v="Core"/>
    <x v="4"/>
    <n v="49000"/>
    <x v="29"/>
    <x v="2"/>
  </r>
  <r>
    <x v="17"/>
    <s v="Lakeside Energy"/>
    <s v="analytics"/>
    <x v="1"/>
    <n v="26000"/>
    <x v="17"/>
    <x v="0"/>
  </r>
  <r>
    <x v="19"/>
    <s v="Maple Grove Maintenance"/>
    <s v="analytics"/>
    <x v="8"/>
    <n v="35000"/>
    <x v="19"/>
    <x v="0"/>
  </r>
  <r>
    <x v="15"/>
    <s v="Delta Refrigeration  "/>
    <s v="Core"/>
    <x v="11"/>
    <n v="89000"/>
    <x v="15"/>
    <x v="2"/>
  </r>
  <r>
    <x v="22"/>
    <s v="Redwood Field Services"/>
    <s v="Core"/>
    <x v="5"/>
    <n v="35000"/>
    <x v="22"/>
    <x v="2"/>
  </r>
  <r>
    <x v="17"/>
    <s v="Lakeside Energy"/>
    <s v="Core Platform"/>
    <x v="0"/>
    <n v="112000"/>
    <x v="17"/>
    <x v="2"/>
  </r>
  <r>
    <x v="2"/>
    <s v="Pinecrest Property"/>
    <s v="analytics"/>
    <x v="7"/>
    <n v="39000"/>
    <x v="2"/>
    <x v="0"/>
  </r>
  <r>
    <x v="7"/>
    <s v="Kestrel Telecom"/>
    <s v="Automation"/>
    <x v="0"/>
    <n v="22000"/>
    <x v="7"/>
    <x v="1"/>
  </r>
  <r>
    <x v="5"/>
    <s v="Granite State Mechanical"/>
    <s v="Core"/>
    <x v="2"/>
    <n v="90000"/>
    <x v="5"/>
    <x v="2"/>
  </r>
  <r>
    <x v="26"/>
    <s v="Vertex Manufacturing"/>
    <s v="Automation"/>
    <x v="0"/>
    <n v="9000"/>
    <x v="26"/>
    <x v="1"/>
  </r>
  <r>
    <x v="7"/>
    <s v="Kestrel Telecom"/>
    <s v="Core"/>
    <x v="5"/>
    <n v="100000"/>
    <x v="7"/>
    <x v="2"/>
  </r>
  <r>
    <x v="15"/>
    <s v="Delta Refrigeration"/>
    <s v="Core Platform"/>
    <x v="10"/>
    <n v="102000"/>
    <x v="15"/>
    <x v="2"/>
  </r>
  <r>
    <x v="16"/>
    <s v="Harborview Plumbing"/>
    <s v="analytics"/>
    <x v="10"/>
    <n v="22000"/>
    <x v="16"/>
    <x v="0"/>
  </r>
  <r>
    <x v="5"/>
    <s v="Granite State Mechanical  "/>
    <s v="Core Platform"/>
    <x v="5"/>
    <n v="79000"/>
    <x v="5"/>
    <x v="2"/>
  </r>
  <r>
    <x v="14"/>
    <s v="Foundry Industrial"/>
    <s v="Core Platform"/>
    <x v="12"/>
    <n v="60000"/>
    <x v="14"/>
    <x v="2"/>
  </r>
  <r>
    <x v="2"/>
    <s v="Pinecrest Property"/>
    <s v="analytics"/>
    <x v="5"/>
    <n v="39000"/>
    <x v="2"/>
    <x v="0"/>
  </r>
  <r>
    <x v="9"/>
    <s v="Atlas Elevator Co  "/>
    <s v="Core Platform"/>
    <x v="7"/>
    <n v="60000"/>
    <x v="9"/>
    <x v="2"/>
  </r>
  <r>
    <x v="21"/>
    <s v="Everest Drilling"/>
    <s v="Core"/>
    <x v="10"/>
    <n v="52000"/>
    <x v="21"/>
    <x v="2"/>
  </r>
  <r>
    <x v="17"/>
    <s v="Lakeside Energy"/>
    <s v="Core Platform"/>
    <x v="1"/>
    <n v="112000"/>
    <x v="17"/>
    <x v="2"/>
  </r>
  <r>
    <x v="28"/>
    <s v="Sterling Facilities"/>
    <s v="Core Platform"/>
    <x v="11"/>
    <n v="120000"/>
    <x v="28"/>
    <x v="2"/>
  </r>
  <r>
    <x v="1"/>
    <s v="Cobalt Networks"/>
    <s v="Core"/>
    <x v="3"/>
    <n v="70000"/>
    <x v="1"/>
    <x v="2"/>
  </r>
  <r>
    <x v="18"/>
    <s v="Cedar Peak Utilities"/>
    <s v="analytics"/>
    <x v="9"/>
    <n v="27000"/>
    <x v="18"/>
    <x v="0"/>
  </r>
  <r>
    <x v="31"/>
    <s v="Brightway Solar"/>
    <s v="Core"/>
    <x v="8"/>
    <n v="73000"/>
    <x v="31"/>
    <x v="2"/>
  </r>
  <r>
    <x v="29"/>
    <s v="Orion Building Systems"/>
    <s v="Core"/>
    <x v="11"/>
    <n v="49000"/>
    <x v="29"/>
    <x v="2"/>
  </r>
  <r>
    <x v="1"/>
    <s v="Cobalt Networks"/>
    <s v="Automation"/>
    <x v="0"/>
    <n v="17000"/>
    <x v="1"/>
    <x v="1"/>
  </r>
  <r>
    <x v="27"/>
    <s v="Northwind Trading"/>
    <s v="Core Platform"/>
    <x v="3"/>
    <n v="117000"/>
    <x v="27"/>
    <x v="2"/>
  </r>
  <r>
    <x v="14"/>
    <s v="Foundry Industrial"/>
    <s v="Automation"/>
    <x v="3"/>
    <n v="19000"/>
    <x v="14"/>
    <x v="1"/>
  </r>
  <r>
    <x v="7"/>
    <s v="Kestrel Telecom"/>
    <s v="Analytics Add-On"/>
    <x v="11"/>
    <n v="31000"/>
    <x v="7"/>
    <x v="0"/>
  </r>
  <r>
    <x v="33"/>
    <s v="Trailhead Equipment"/>
    <s v="Core Platform"/>
    <x v="7"/>
    <n v="90000"/>
    <x v="33"/>
    <x v="2"/>
  </r>
  <r>
    <x v="33"/>
    <s v="Trailhead Equipment"/>
    <s v="Automation"/>
    <x v="1"/>
    <n v="23000"/>
    <x v="33"/>
    <x v="1"/>
  </r>
  <r>
    <x v="17"/>
    <s v="Lakeside Energy"/>
    <s v="analytics"/>
    <x v="2"/>
    <n v="26000"/>
    <x v="17"/>
    <x v="0"/>
  </r>
  <r>
    <x v="14"/>
    <s v="Foundry Industrial"/>
    <s v="Core Platform"/>
    <x v="4"/>
    <n v="60000"/>
    <x v="14"/>
    <x v="2"/>
  </r>
  <r>
    <x v="2"/>
    <s v="Pinecrest Property"/>
    <s v="Core Platform"/>
    <x v="4"/>
    <n v="118000"/>
    <x v="2"/>
    <x v="2"/>
  </r>
  <r>
    <x v="13"/>
    <s v="Fairwind Marine"/>
    <s v="Core Platform"/>
    <x v="2"/>
    <n v="88000"/>
    <x v="13"/>
    <x v="2"/>
  </r>
  <r>
    <x v="6"/>
    <s v="Ridgeline HVAC"/>
    <s v="analytics"/>
    <x v="2"/>
    <n v="15000"/>
    <x v="6"/>
    <x v="0"/>
  </r>
  <r>
    <x v="26"/>
    <s v="Vertex Manufacturing"/>
    <s v="analytics"/>
    <x v="3"/>
    <n v="27000"/>
    <x v="26"/>
    <x v="0"/>
  </r>
  <r>
    <x v="10"/>
    <s v="Summit Fire Protection"/>
    <s v="Core"/>
    <x v="5"/>
    <n v="77000"/>
    <x v="10"/>
    <x v="2"/>
  </r>
  <r>
    <x v="16"/>
    <s v="Harborview Plumbing"/>
    <s v="Core"/>
    <x v="4"/>
    <n v="70000"/>
    <x v="16"/>
    <x v="2"/>
  </r>
  <r>
    <x v="4"/>
    <s v="Ironclad Security"/>
    <s v="Core Platform"/>
    <x v="6"/>
    <n v="90000"/>
    <x v="4"/>
    <x v="2"/>
  </r>
  <r>
    <x v="29"/>
    <s v="Orion Building Systems"/>
    <s v="Core"/>
    <x v="5"/>
    <n v="49000"/>
    <x v="29"/>
    <x v="2"/>
  </r>
  <r>
    <x v="33"/>
    <s v="Trailhead Equipment"/>
    <s v="Automation"/>
    <x v="2"/>
    <n v="19000"/>
    <x v="33"/>
    <x v="1"/>
  </r>
  <r>
    <x v="15"/>
    <s v="Delta Refrigeration"/>
    <s v="Automation"/>
    <x v="0"/>
    <n v="22000"/>
    <x v="15"/>
    <x v="1"/>
  </r>
  <r>
    <x v="23"/>
    <s v="Copperfield Electrical"/>
    <s v="Core Platform"/>
    <x v="2"/>
    <n v="36000"/>
    <x v="23"/>
    <x v="2"/>
  </r>
  <r>
    <x v="22"/>
    <s v="Redwood Field Services"/>
    <s v="analytics"/>
    <x v="5"/>
    <n v="23000"/>
    <x v="22"/>
    <x v="0"/>
  </r>
  <r>
    <x v="23"/>
    <s v="Copperfield Electrical"/>
    <s v="Core"/>
    <x v="5"/>
    <n v="62000"/>
    <x v="2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1E459-9EF6-4877-B09C-75588AD8E966}" name="TablaDinámica2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O6" firstHeaderRow="1" firstDataRow="2" firstDataCol="1"/>
  <pivotFields count="7">
    <pivotField showAll="0"/>
    <pivotField showAll="0"/>
    <pivotField showAll="0"/>
    <pivotField axis="axisCol" numFmtId="164" showAll="0">
      <items count="14">
        <item x="9"/>
        <item x="11"/>
        <item x="12"/>
        <item x="7"/>
        <item x="5"/>
        <item x="8"/>
        <item x="10"/>
        <item x="4"/>
        <item x="3"/>
        <item x="0"/>
        <item x="2"/>
        <item x="6"/>
        <item x="1"/>
        <item t="default"/>
      </items>
    </pivotField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a de ARR_USD" fld="4" baseField="6" baseItem="0" numFmtId="17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78F2D-C14A-4681-8207-560B08E28A22}" name="TablaDinámica1" cacheId="21" applyNumberFormats="0" applyBorderFormats="0" applyFontFormats="0" applyPatternFormats="0" applyAlignmentFormats="0" applyWidthHeightFormats="1" dataCaption="Valores" missingCaption="0" updatedVersion="8" minRefreshableVersion="3" itemPrintTitles="1" createdVersion="8" indent="0" compact="0" compactData="0" multipleFieldFilters="0">
  <location ref="A1:P39" firstHeaderRow="1" firstDataRow="2" firstDataCol="2"/>
  <pivotFields count="7">
    <pivotField axis="axisRow" compact="0" outline="0" showAll="0" defaultSubtotal="0">
      <items count="36">
        <item x="27"/>
        <item x="8"/>
        <item x="26"/>
        <item x="18"/>
        <item x="6"/>
        <item x="28"/>
        <item x="23"/>
        <item x="0"/>
        <item x="4"/>
        <item x="2"/>
        <item x="10"/>
        <item x="16"/>
        <item x="5"/>
        <item x="17"/>
        <item x="22"/>
        <item x="9"/>
        <item x="31"/>
        <item x="7"/>
        <item x="14"/>
        <item x="19"/>
        <item x="15"/>
        <item x="29"/>
        <item x="11"/>
        <item x="3"/>
        <item x="33"/>
        <item x="1"/>
        <item x="13"/>
        <item x="21"/>
        <item x="25"/>
        <item x="24"/>
        <item x="30"/>
        <item x="20"/>
        <item x="12"/>
        <item x="32"/>
        <item x="35"/>
        <item x="34"/>
      </items>
    </pivotField>
    <pivotField compact="0" outline="0" showAll="0"/>
    <pivotField compact="0" outline="0" showAll="0"/>
    <pivotField axis="axisCol" compact="0" numFmtId="164" outline="0" showAll="0">
      <items count="14">
        <item x="9"/>
        <item x="11"/>
        <item x="12"/>
        <item x="7"/>
        <item x="5"/>
        <item x="8"/>
        <item x="10"/>
        <item x="4"/>
        <item x="3"/>
        <item x="0"/>
        <item x="2"/>
        <item x="6"/>
        <item x="1"/>
        <item t="default"/>
      </items>
    </pivotField>
    <pivotField dataField="1" compact="0" outline="0" showAll="0"/>
    <pivotField axis="axisRow" compact="0" outline="0" showAll="0">
      <items count="37">
        <item x="9"/>
        <item x="24"/>
        <item x="8"/>
        <item x="31"/>
        <item x="18"/>
        <item x="1"/>
        <item x="23"/>
        <item x="15"/>
        <item x="21"/>
        <item x="13"/>
        <item x="14"/>
        <item x="5"/>
        <item x="12"/>
        <item x="16"/>
        <item x="4"/>
        <item x="7"/>
        <item x="17"/>
        <item x="19"/>
        <item x="0"/>
        <item x="27"/>
        <item x="35"/>
        <item x="29"/>
        <item x="34"/>
        <item x="2"/>
        <item x="20"/>
        <item x="22"/>
        <item x="6"/>
        <item x="32"/>
        <item x="11"/>
        <item x="25"/>
        <item x="28"/>
        <item x="10"/>
        <item x="30"/>
        <item x="33"/>
        <item x="26"/>
        <item x="3"/>
        <item t="default"/>
      </items>
    </pivotField>
    <pivotField compact="0" outline="0" showAll="0"/>
  </pivotFields>
  <rowFields count="2">
    <field x="0"/>
    <field x="5"/>
  </rowFields>
  <rowItems count="37">
    <i>
      <x/>
      <x v="19"/>
    </i>
    <i>
      <x v="1"/>
      <x v="2"/>
    </i>
    <i>
      <x v="2"/>
      <x v="34"/>
    </i>
    <i>
      <x v="3"/>
      <x v="4"/>
    </i>
    <i>
      <x v="4"/>
      <x v="26"/>
    </i>
    <i>
      <x v="5"/>
      <x v="30"/>
    </i>
    <i>
      <x v="6"/>
      <x v="6"/>
    </i>
    <i>
      <x v="7"/>
      <x v="18"/>
    </i>
    <i>
      <x v="8"/>
      <x v="14"/>
    </i>
    <i>
      <x v="9"/>
      <x v="23"/>
    </i>
    <i>
      <x v="10"/>
      <x v="31"/>
    </i>
    <i>
      <x v="11"/>
      <x v="13"/>
    </i>
    <i>
      <x v="12"/>
      <x v="11"/>
    </i>
    <i>
      <x v="13"/>
      <x v="16"/>
    </i>
    <i>
      <x v="14"/>
      <x v="25"/>
    </i>
    <i>
      <x v="15"/>
      <x/>
    </i>
    <i>
      <x v="16"/>
      <x v="3"/>
    </i>
    <i>
      <x v="17"/>
      <x v="15"/>
    </i>
    <i>
      <x v="18"/>
      <x v="10"/>
    </i>
    <i>
      <x v="19"/>
      <x v="17"/>
    </i>
    <i>
      <x v="20"/>
      <x v="7"/>
    </i>
    <i>
      <x v="21"/>
      <x v="21"/>
    </i>
    <i>
      <x v="22"/>
      <x v="28"/>
    </i>
    <i>
      <x v="23"/>
      <x v="35"/>
    </i>
    <i>
      <x v="24"/>
      <x v="33"/>
    </i>
    <i>
      <x v="25"/>
      <x v="5"/>
    </i>
    <i>
      <x v="26"/>
      <x v="9"/>
    </i>
    <i>
      <x v="27"/>
      <x v="8"/>
    </i>
    <i>
      <x v="28"/>
      <x v="29"/>
    </i>
    <i>
      <x v="29"/>
      <x v="1"/>
    </i>
    <i>
      <x v="30"/>
      <x v="32"/>
    </i>
    <i>
      <x v="31"/>
      <x v="24"/>
    </i>
    <i>
      <x v="32"/>
      <x v="12"/>
    </i>
    <i>
      <x v="33"/>
      <x v="27"/>
    </i>
    <i>
      <x v="34"/>
      <x v="20"/>
    </i>
    <i>
      <x v="35"/>
      <x v="22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a de ARR_USD" fld="4" baseField="5" baseItem="19" numFmtId="17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473E5-ACBC-470F-937B-64C0360F9FC6}" name="Tabla1" displayName="Tabla1" ref="A50:D61" totalsRowShown="0">
  <autoFilter ref="A50:D61" xr:uid="{9C1473E5-ACBC-470F-937B-64C0360F9FC6}"/>
  <tableColumns count="4">
    <tableColumn id="1" xr3:uid="{6E18A51A-709C-4D28-8DD4-E1570B898CED}" name="Core RevOps Metric"/>
    <tableColumn id="2" xr3:uid="{A54730E6-875B-4AF6-9AE5-B33DE7BD5BA8}" name="Dec-2024 (Start)" dataDxfId="1"/>
    <tableColumn id="3" xr3:uid="{A512ADB2-A378-47A1-9B5B-DB3B2B91E538}" name="Dec-2025 (End)" dataDxfId="0"/>
    <tableColumn id="4" xr3:uid="{B5DF495F-3F9A-4E7E-9741-E021EF77A5CF}" name="FY 2025 Performan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0F7F-87E4-49CD-B7B9-89A7367D0EDE}">
  <dimension ref="A1:D61"/>
  <sheetViews>
    <sheetView showGridLines="0" tabSelected="1" topLeftCell="A41" workbookViewId="0">
      <selection activeCell="G18" sqref="G18"/>
    </sheetView>
  </sheetViews>
  <sheetFormatPr baseColWidth="10" defaultRowHeight="14.5" x14ac:dyDescent="0.35"/>
  <cols>
    <col min="1" max="1" width="26.36328125" customWidth="1"/>
    <col min="2" max="2" width="16.36328125" customWidth="1"/>
    <col min="3" max="3" width="15.453125" customWidth="1"/>
    <col min="4" max="4" width="29.81640625" customWidth="1"/>
    <col min="5" max="6" width="11.26953125" customWidth="1"/>
  </cols>
  <sheetData>
    <row r="1" spans="1:1" ht="21" x14ac:dyDescent="0.5">
      <c r="A1" s="11" t="s">
        <v>219</v>
      </c>
    </row>
    <row r="3" spans="1:1" x14ac:dyDescent="0.35">
      <c r="A3" t="s">
        <v>244</v>
      </c>
    </row>
    <row r="4" spans="1:1" x14ac:dyDescent="0.35">
      <c r="A4" t="s">
        <v>245</v>
      </c>
    </row>
    <row r="6" spans="1:1" ht="18.5" x14ac:dyDescent="0.45">
      <c r="A6" s="10" t="s">
        <v>220</v>
      </c>
    </row>
    <row r="8" spans="1:1" ht="18.5" x14ac:dyDescent="0.45">
      <c r="A8" s="10" t="s">
        <v>246</v>
      </c>
    </row>
    <row r="10" spans="1:1" x14ac:dyDescent="0.35">
      <c r="A10" t="s">
        <v>247</v>
      </c>
    </row>
    <row r="11" spans="1:1" x14ac:dyDescent="0.35">
      <c r="A11" t="s">
        <v>248</v>
      </c>
    </row>
    <row r="12" spans="1:1" x14ac:dyDescent="0.35">
      <c r="A12" t="s">
        <v>249</v>
      </c>
    </row>
    <row r="14" spans="1:1" x14ac:dyDescent="0.35">
      <c r="A14" t="s">
        <v>250</v>
      </c>
    </row>
    <row r="15" spans="1:1" x14ac:dyDescent="0.35">
      <c r="A15" t="s">
        <v>251</v>
      </c>
    </row>
    <row r="16" spans="1:1" x14ac:dyDescent="0.35">
      <c r="A16" t="s">
        <v>252</v>
      </c>
    </row>
    <row r="17" spans="1:1" x14ac:dyDescent="0.35">
      <c r="A17" t="s">
        <v>253</v>
      </c>
    </row>
    <row r="19" spans="1:1" x14ac:dyDescent="0.35">
      <c r="A19" t="s">
        <v>254</v>
      </c>
    </row>
    <row r="20" spans="1:1" x14ac:dyDescent="0.35">
      <c r="A20" t="s">
        <v>255</v>
      </c>
    </row>
    <row r="21" spans="1:1" x14ac:dyDescent="0.35">
      <c r="A21" t="s">
        <v>256</v>
      </c>
    </row>
    <row r="22" spans="1:1" x14ac:dyDescent="0.35">
      <c r="A22" t="s">
        <v>257</v>
      </c>
    </row>
    <row r="24" spans="1:1" x14ac:dyDescent="0.35">
      <c r="A24" t="s">
        <v>258</v>
      </c>
    </row>
    <row r="25" spans="1:1" x14ac:dyDescent="0.35">
      <c r="A25" t="s">
        <v>259</v>
      </c>
    </row>
    <row r="26" spans="1:1" x14ac:dyDescent="0.35">
      <c r="A26" t="s">
        <v>260</v>
      </c>
    </row>
    <row r="27" spans="1:1" x14ac:dyDescent="0.35">
      <c r="A27" t="s">
        <v>261</v>
      </c>
    </row>
    <row r="29" spans="1:1" ht="18.5" x14ac:dyDescent="0.45">
      <c r="A29" s="10" t="s">
        <v>221</v>
      </c>
    </row>
    <row r="31" spans="1:1" ht="18.5" x14ac:dyDescent="0.45">
      <c r="A31" s="10" t="s">
        <v>262</v>
      </c>
    </row>
    <row r="33" spans="1:1" x14ac:dyDescent="0.35">
      <c r="A33" t="s">
        <v>263</v>
      </c>
    </row>
    <row r="34" spans="1:1" x14ac:dyDescent="0.35">
      <c r="A34" t="s">
        <v>264</v>
      </c>
    </row>
    <row r="35" spans="1:1" x14ac:dyDescent="0.35">
      <c r="A35" t="s">
        <v>265</v>
      </c>
    </row>
    <row r="36" spans="1:1" x14ac:dyDescent="0.35">
      <c r="A36" t="s">
        <v>266</v>
      </c>
    </row>
    <row r="37" spans="1:1" x14ac:dyDescent="0.35">
      <c r="A37" t="s">
        <v>267</v>
      </c>
    </row>
    <row r="39" spans="1:1" x14ac:dyDescent="0.35">
      <c r="A39" t="s">
        <v>268</v>
      </c>
    </row>
    <row r="40" spans="1:1" x14ac:dyDescent="0.35">
      <c r="A40" t="s">
        <v>269</v>
      </c>
    </row>
    <row r="41" spans="1:1" x14ac:dyDescent="0.35">
      <c r="A41" t="s">
        <v>270</v>
      </c>
    </row>
    <row r="42" spans="1:1" x14ac:dyDescent="0.35">
      <c r="A42" t="s">
        <v>271</v>
      </c>
    </row>
    <row r="44" spans="1:1" x14ac:dyDescent="0.35">
      <c r="A44" t="s">
        <v>272</v>
      </c>
    </row>
    <row r="45" spans="1:1" x14ac:dyDescent="0.35">
      <c r="A45" t="s">
        <v>273</v>
      </c>
    </row>
    <row r="46" spans="1:1" x14ac:dyDescent="0.35">
      <c r="A46" t="s">
        <v>274</v>
      </c>
    </row>
    <row r="48" spans="1:1" ht="18.5" x14ac:dyDescent="0.45">
      <c r="A48" s="10" t="s">
        <v>222</v>
      </c>
    </row>
    <row r="50" spans="1:4" x14ac:dyDescent="0.35">
      <c r="A50" t="s">
        <v>223</v>
      </c>
      <c r="B50" t="s">
        <v>224</v>
      </c>
      <c r="C50" t="s">
        <v>225</v>
      </c>
      <c r="D50" t="s">
        <v>226</v>
      </c>
    </row>
    <row r="51" spans="1:4" x14ac:dyDescent="0.35">
      <c r="A51" t="s">
        <v>227</v>
      </c>
      <c r="B51" s="8">
        <v>1926000</v>
      </c>
      <c r="C51" s="8">
        <v>3692000</v>
      </c>
      <c r="D51" t="s">
        <v>228</v>
      </c>
    </row>
    <row r="52" spans="1:4" x14ac:dyDescent="0.35">
      <c r="A52" t="s">
        <v>229</v>
      </c>
      <c r="B52" t="s">
        <v>230</v>
      </c>
      <c r="C52" t="s">
        <v>230</v>
      </c>
      <c r="D52" t="s">
        <v>275</v>
      </c>
    </row>
    <row r="53" spans="1:4" x14ac:dyDescent="0.35">
      <c r="A53" t="s">
        <v>231</v>
      </c>
      <c r="B53" t="s">
        <v>230</v>
      </c>
      <c r="C53" t="s">
        <v>230</v>
      </c>
      <c r="D53" t="s">
        <v>276</v>
      </c>
    </row>
    <row r="54" spans="1:4" x14ac:dyDescent="0.35">
      <c r="A54" t="s">
        <v>232</v>
      </c>
      <c r="B54" t="s">
        <v>230</v>
      </c>
      <c r="C54" t="s">
        <v>230</v>
      </c>
      <c r="D54" t="s">
        <v>277</v>
      </c>
    </row>
    <row r="55" spans="1:4" x14ac:dyDescent="0.35">
      <c r="A55" t="s">
        <v>233</v>
      </c>
      <c r="B55" t="s">
        <v>230</v>
      </c>
      <c r="C55" t="s">
        <v>230</v>
      </c>
      <c r="D55" t="s">
        <v>278</v>
      </c>
    </row>
    <row r="56" spans="1:4" x14ac:dyDescent="0.35">
      <c r="A56" t="s">
        <v>234</v>
      </c>
      <c r="B56" t="s">
        <v>230</v>
      </c>
      <c r="C56" t="s">
        <v>230</v>
      </c>
      <c r="D56" t="s">
        <v>279</v>
      </c>
    </row>
    <row r="57" spans="1:4" x14ac:dyDescent="0.35">
      <c r="A57" t="s">
        <v>235</v>
      </c>
      <c r="B57" s="9">
        <v>0.81200000000000006</v>
      </c>
      <c r="C57" s="9">
        <v>0.71699999999999997</v>
      </c>
      <c r="D57" t="s">
        <v>236</v>
      </c>
    </row>
    <row r="58" spans="1:4" x14ac:dyDescent="0.35">
      <c r="A58" t="s">
        <v>237</v>
      </c>
      <c r="B58" s="9">
        <v>0.14499999999999999</v>
      </c>
      <c r="C58" s="9">
        <v>0.17799999999999999</v>
      </c>
      <c r="D58" t="s">
        <v>238</v>
      </c>
    </row>
    <row r="59" spans="1:4" x14ac:dyDescent="0.35">
      <c r="A59" t="s">
        <v>239</v>
      </c>
      <c r="B59" s="9">
        <v>4.2999999999999997E-2</v>
      </c>
      <c r="C59" s="9">
        <v>0.104</v>
      </c>
      <c r="D59" t="s">
        <v>240</v>
      </c>
    </row>
    <row r="60" spans="1:4" x14ac:dyDescent="0.35">
      <c r="A60" t="s">
        <v>241</v>
      </c>
      <c r="B60" t="s">
        <v>230</v>
      </c>
      <c r="C60" t="s">
        <v>230</v>
      </c>
      <c r="D60" s="9">
        <v>1.2629999999999999</v>
      </c>
    </row>
    <row r="61" spans="1:4" x14ac:dyDescent="0.35">
      <c r="A61" t="s">
        <v>242</v>
      </c>
      <c r="B61" t="s">
        <v>230</v>
      </c>
      <c r="C61" t="s">
        <v>230</v>
      </c>
      <c r="D61" t="s">
        <v>243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9A6E-48E4-41BA-8573-7178A3A687D0}">
  <dimension ref="A1:N11"/>
  <sheetViews>
    <sheetView workbookViewId="0">
      <selection activeCell="B1" sqref="B1:M1"/>
    </sheetView>
  </sheetViews>
  <sheetFormatPr baseColWidth="10" defaultRowHeight="14.5" x14ac:dyDescent="0.35"/>
  <cols>
    <col min="1" max="1" width="17.26953125" bestFit="1" customWidth="1"/>
    <col min="2" max="13" width="14.54296875" bestFit="1" customWidth="1"/>
    <col min="14" max="14" width="15.54296875" bestFit="1" customWidth="1"/>
  </cols>
  <sheetData>
    <row r="1" spans="1:14" x14ac:dyDescent="0.35">
      <c r="A1" s="14" t="s">
        <v>190</v>
      </c>
      <c r="B1" s="14" t="s">
        <v>154</v>
      </c>
      <c r="C1" s="14" t="s">
        <v>153</v>
      </c>
      <c r="D1" s="14" t="s">
        <v>152</v>
      </c>
      <c r="E1" s="14" t="s">
        <v>151</v>
      </c>
      <c r="F1" s="14" t="s">
        <v>150</v>
      </c>
      <c r="G1" s="14" t="s">
        <v>149</v>
      </c>
      <c r="H1" s="14" t="s">
        <v>148</v>
      </c>
      <c r="I1" s="14" t="s">
        <v>147</v>
      </c>
      <c r="J1" s="14" t="s">
        <v>146</v>
      </c>
      <c r="K1" s="14" t="s">
        <v>145</v>
      </c>
      <c r="L1" s="14" t="s">
        <v>144</v>
      </c>
      <c r="M1" s="14" t="s">
        <v>143</v>
      </c>
      <c r="N1" s="12"/>
    </row>
    <row r="2" spans="1:14" x14ac:dyDescent="0.35">
      <c r="A2" s="14" t="s">
        <v>191</v>
      </c>
      <c r="B2" s="19">
        <f>'Customer ARR Matrix'!C39</f>
        <v>1926000</v>
      </c>
      <c r="C2" s="19">
        <f>B7</f>
        <v>2158000</v>
      </c>
      <c r="D2" s="19">
        <f>C7</f>
        <v>2296000</v>
      </c>
      <c r="E2" s="19">
        <f>D7</f>
        <v>2522000</v>
      </c>
      <c r="F2" s="19">
        <f>E7</f>
        <v>2600000</v>
      </c>
      <c r="G2" s="19">
        <f>F7</f>
        <v>2797000</v>
      </c>
      <c r="H2" s="19">
        <f>G7</f>
        <v>2966000</v>
      </c>
      <c r="I2" s="19">
        <f>H7</f>
        <v>3053000</v>
      </c>
      <c r="J2" s="19">
        <f>I7</f>
        <v>3172000</v>
      </c>
      <c r="K2" s="19">
        <f>J7</f>
        <v>3335000</v>
      </c>
      <c r="L2" s="19">
        <f>K7</f>
        <v>3428000</v>
      </c>
      <c r="M2" s="19">
        <f>L7</f>
        <v>3558000</v>
      </c>
      <c r="N2" s="20">
        <f>+B2</f>
        <v>1926000</v>
      </c>
    </row>
    <row r="3" spans="1:14" x14ac:dyDescent="0.35">
      <c r="A3" s="14" t="s">
        <v>192</v>
      </c>
      <c r="B3" s="19">
        <f>'Customer ARR Matrix'!D41</f>
        <v>177000</v>
      </c>
      <c r="C3" s="19">
        <f>'Customer ARR Matrix'!E41</f>
        <v>66000</v>
      </c>
      <c r="D3" s="19">
        <f>'Customer ARR Matrix'!F41</f>
        <v>156000</v>
      </c>
      <c r="E3" s="19">
        <f>'Customer ARR Matrix'!G41</f>
        <v>105000</v>
      </c>
      <c r="F3" s="19">
        <f>'Customer ARR Matrix'!H41</f>
        <v>103000</v>
      </c>
      <c r="G3" s="19">
        <f>'Customer ARR Matrix'!I41</f>
        <v>125000</v>
      </c>
      <c r="H3" s="19">
        <f>'Customer ARR Matrix'!J41</f>
        <v>114000</v>
      </c>
      <c r="I3" s="19">
        <f>'Customer ARR Matrix'!K41</f>
        <v>44000</v>
      </c>
      <c r="J3" s="19">
        <f>'Customer ARR Matrix'!L41</f>
        <v>115000</v>
      </c>
      <c r="K3" s="19">
        <f>'Customer ARR Matrix'!M41</f>
        <v>90000</v>
      </c>
      <c r="L3" s="19">
        <f>'Customer ARR Matrix'!N41</f>
        <v>72000</v>
      </c>
      <c r="M3" s="19">
        <f>'Customer ARR Matrix'!O41</f>
        <v>88000</v>
      </c>
      <c r="N3" s="20">
        <f>SUM(B3:M3)</f>
        <v>1255000</v>
      </c>
    </row>
    <row r="4" spans="1:14" x14ac:dyDescent="0.35">
      <c r="A4" s="14" t="s">
        <v>193</v>
      </c>
      <c r="B4" s="19">
        <f>'Customer ARR Matrix'!D42</f>
        <v>55000</v>
      </c>
      <c r="C4" s="19">
        <f>'Customer ARR Matrix'!E42</f>
        <v>72000</v>
      </c>
      <c r="D4" s="19">
        <f>'Customer ARR Matrix'!F42</f>
        <v>70000</v>
      </c>
      <c r="E4" s="19">
        <f>'Customer ARR Matrix'!G42</f>
        <v>60000</v>
      </c>
      <c r="F4" s="19">
        <f>'Customer ARR Matrix'!H42</f>
        <v>94000</v>
      </c>
      <c r="G4" s="19">
        <f>'Customer ARR Matrix'!I42</f>
        <v>60000</v>
      </c>
      <c r="H4" s="19">
        <f>'Customer ARR Matrix'!J42</f>
        <v>50000</v>
      </c>
      <c r="I4" s="19">
        <f>'Customer ARR Matrix'!K42</f>
        <v>75000</v>
      </c>
      <c r="J4" s="19">
        <f>'Customer ARR Matrix'!L42</f>
        <v>58000</v>
      </c>
      <c r="K4" s="19">
        <f>'Customer ARR Matrix'!M42</f>
        <v>76000</v>
      </c>
      <c r="L4" s="19">
        <f>'Customer ARR Matrix'!N42</f>
        <v>75000</v>
      </c>
      <c r="M4" s="19">
        <f>'Customer ARR Matrix'!O42</f>
        <v>46000</v>
      </c>
      <c r="N4" s="12">
        <f>SUM(B4:M4)</f>
        <v>791000</v>
      </c>
    </row>
    <row r="5" spans="1:14" x14ac:dyDescent="0.35">
      <c r="A5" s="14" t="s">
        <v>194</v>
      </c>
      <c r="B5" s="19">
        <f>'Customer ARR Matrix'!D43</f>
        <v>0</v>
      </c>
      <c r="C5" s="19">
        <f>'Customer ARR Matrix'!E43</f>
        <v>0</v>
      </c>
      <c r="D5" s="19">
        <f>'Customer ARR Matrix'!F43</f>
        <v>0</v>
      </c>
      <c r="E5" s="19">
        <f>'Customer ARR Matrix'!G43</f>
        <v>0</v>
      </c>
      <c r="F5" s="19">
        <f>'Customer ARR Matrix'!H43</f>
        <v>0</v>
      </c>
      <c r="G5" s="19">
        <f>'Customer ARR Matrix'!I43</f>
        <v>16000</v>
      </c>
      <c r="H5" s="19">
        <f>'Customer ARR Matrix'!J43</f>
        <v>0</v>
      </c>
      <c r="I5" s="19">
        <f>'Customer ARR Matrix'!K43</f>
        <v>0</v>
      </c>
      <c r="J5" s="19">
        <f>'Customer ARR Matrix'!L43</f>
        <v>10000</v>
      </c>
      <c r="K5" s="19">
        <f>'Customer ARR Matrix'!M43</f>
        <v>0</v>
      </c>
      <c r="L5" s="19">
        <f>'Customer ARR Matrix'!N43</f>
        <v>17000</v>
      </c>
      <c r="M5" s="19">
        <f>'Customer ARR Matrix'!O43</f>
        <v>0</v>
      </c>
      <c r="N5" s="12">
        <f>SUM(B5:M5)</f>
        <v>43000</v>
      </c>
    </row>
    <row r="6" spans="1:14" x14ac:dyDescent="0.35">
      <c r="A6" s="14" t="s">
        <v>195</v>
      </c>
      <c r="B6" s="19">
        <f>'Customer ARR Matrix'!D44</f>
        <v>0</v>
      </c>
      <c r="C6" s="19">
        <f>'Customer ARR Matrix'!E44</f>
        <v>0</v>
      </c>
      <c r="D6" s="19">
        <f>'Customer ARR Matrix'!F44</f>
        <v>0</v>
      </c>
      <c r="E6" s="19">
        <f>'Customer ARR Matrix'!G44</f>
        <v>87000</v>
      </c>
      <c r="F6" s="19">
        <f>'Customer ARR Matrix'!H44</f>
        <v>0</v>
      </c>
      <c r="G6" s="19">
        <f>'Customer ARR Matrix'!I44</f>
        <v>0</v>
      </c>
      <c r="H6" s="19">
        <f>'Customer ARR Matrix'!J44</f>
        <v>77000</v>
      </c>
      <c r="I6" s="19">
        <f>'Customer ARR Matrix'!K44</f>
        <v>0</v>
      </c>
      <c r="J6" s="19">
        <f>'Customer ARR Matrix'!L44</f>
        <v>0</v>
      </c>
      <c r="K6" s="19">
        <f>'Customer ARR Matrix'!M44</f>
        <v>73000</v>
      </c>
      <c r="L6" s="19">
        <f>'Customer ARR Matrix'!N44</f>
        <v>0</v>
      </c>
      <c r="M6" s="19">
        <f>'Customer ARR Matrix'!O44</f>
        <v>0</v>
      </c>
      <c r="N6" s="12">
        <f>SUM(B6:M6)</f>
        <v>237000</v>
      </c>
    </row>
    <row r="7" spans="1:14" x14ac:dyDescent="0.35">
      <c r="A7" s="14" t="s">
        <v>196</v>
      </c>
      <c r="B7" s="19">
        <f>'Customer ARR Matrix'!D39</f>
        <v>2158000</v>
      </c>
      <c r="C7" s="19">
        <f>'Customer ARR Matrix'!E39</f>
        <v>2296000</v>
      </c>
      <c r="D7" s="19">
        <f>'Customer ARR Matrix'!F39</f>
        <v>2522000</v>
      </c>
      <c r="E7" s="19">
        <f>'Customer ARR Matrix'!G39</f>
        <v>2600000</v>
      </c>
      <c r="F7" s="19">
        <f>'Customer ARR Matrix'!H39</f>
        <v>2797000</v>
      </c>
      <c r="G7" s="19">
        <f>'Customer ARR Matrix'!I39</f>
        <v>2966000</v>
      </c>
      <c r="H7" s="19">
        <f>'Customer ARR Matrix'!J39</f>
        <v>3053000</v>
      </c>
      <c r="I7" s="19">
        <f>'Customer ARR Matrix'!K39</f>
        <v>3172000</v>
      </c>
      <c r="J7" s="19">
        <f>'Customer ARR Matrix'!L39</f>
        <v>3335000</v>
      </c>
      <c r="K7" s="19">
        <f>'Customer ARR Matrix'!M39</f>
        <v>3428000</v>
      </c>
      <c r="L7" s="19">
        <f>'Customer ARR Matrix'!N39</f>
        <v>3558000</v>
      </c>
      <c r="M7" s="19">
        <f>'Customer ARR Matrix'!O39</f>
        <v>3692000</v>
      </c>
      <c r="N7" s="19">
        <f>M7</f>
        <v>3692000</v>
      </c>
    </row>
    <row r="8" spans="1:14" x14ac:dyDescent="0.35">
      <c r="A8" s="14" t="s">
        <v>197</v>
      </c>
      <c r="B8" s="20">
        <f>B7 - B2</f>
        <v>232000</v>
      </c>
      <c r="C8" s="20">
        <f t="shared" ref="C8:M8" si="0">C7 - C2</f>
        <v>138000</v>
      </c>
      <c r="D8" s="20">
        <f t="shared" si="0"/>
        <v>226000</v>
      </c>
      <c r="E8" s="20">
        <f t="shared" si="0"/>
        <v>78000</v>
      </c>
      <c r="F8" s="20">
        <f t="shared" si="0"/>
        <v>197000</v>
      </c>
      <c r="G8" s="20">
        <f t="shared" si="0"/>
        <v>169000</v>
      </c>
      <c r="H8" s="20">
        <f t="shared" si="0"/>
        <v>87000</v>
      </c>
      <c r="I8" s="20">
        <f t="shared" si="0"/>
        <v>119000</v>
      </c>
      <c r="J8" s="20">
        <f t="shared" si="0"/>
        <v>163000</v>
      </c>
      <c r="K8" s="20">
        <f t="shared" si="0"/>
        <v>93000</v>
      </c>
      <c r="L8" s="20">
        <f t="shared" si="0"/>
        <v>130000</v>
      </c>
      <c r="M8" s="20">
        <f t="shared" si="0"/>
        <v>134000</v>
      </c>
      <c r="N8" s="20">
        <f>N7 - N2</f>
        <v>1766000</v>
      </c>
    </row>
    <row r="9" spans="1:14" x14ac:dyDescent="0.35">
      <c r="A9" s="14" t="s">
        <v>198</v>
      </c>
      <c r="B9" s="12" t="str">
        <f>IF(B7 = (B2 + B3 + B4 - B5 - B6), "TIED", "MISMATCH")</f>
        <v>TIED</v>
      </c>
      <c r="C9" s="12" t="str">
        <f t="shared" ref="C9:M9" si="1">IF(C7 = (C2 + C3 + C4 - C5 - C6), "TIED", "MISMATCH")</f>
        <v>TIED</v>
      </c>
      <c r="D9" s="12" t="str">
        <f t="shared" si="1"/>
        <v>TIED</v>
      </c>
      <c r="E9" s="12" t="str">
        <f t="shared" si="1"/>
        <v>TIED</v>
      </c>
      <c r="F9" s="12" t="str">
        <f t="shared" si="1"/>
        <v>TIED</v>
      </c>
      <c r="G9" s="12" t="str">
        <f t="shared" si="1"/>
        <v>TIED</v>
      </c>
      <c r="H9" s="12" t="str">
        <f t="shared" si="1"/>
        <v>TIED</v>
      </c>
      <c r="I9" s="12" t="str">
        <f t="shared" si="1"/>
        <v>TIED</v>
      </c>
      <c r="J9" s="12" t="str">
        <f t="shared" si="1"/>
        <v>TIED</v>
      </c>
      <c r="K9" s="12" t="str">
        <f t="shared" si="1"/>
        <v>TIED</v>
      </c>
      <c r="L9" s="12" t="str">
        <f t="shared" si="1"/>
        <v>TIED</v>
      </c>
      <c r="M9" s="12" t="str">
        <f t="shared" si="1"/>
        <v>TIED</v>
      </c>
      <c r="N9" s="12" t="str">
        <f>IF(N7 = (N2 + N3 + N4 - N5 - N6), "TIED", "MISMATCH")</f>
        <v>TIED</v>
      </c>
    </row>
    <row r="10" spans="1:14" x14ac:dyDescent="0.35">
      <c r="A10" s="14" t="s">
        <v>199</v>
      </c>
      <c r="B10" s="21">
        <f>(B2 + B4 - B5 - B6) / B2</f>
        <v>1.0285565939771548</v>
      </c>
      <c r="C10" s="21">
        <f t="shared" ref="C10:M10" si="2">(C2 + C4 - C5 - C6) / C2</f>
        <v>1.0333642261353104</v>
      </c>
      <c r="D10" s="21">
        <f t="shared" si="2"/>
        <v>1.0304878048780488</v>
      </c>
      <c r="E10" s="21">
        <f t="shared" si="2"/>
        <v>0.98929421094369552</v>
      </c>
      <c r="F10" s="21">
        <f t="shared" si="2"/>
        <v>1.0361538461538462</v>
      </c>
      <c r="G10" s="21">
        <f t="shared" si="2"/>
        <v>1.0157311405076868</v>
      </c>
      <c r="H10" s="21">
        <f t="shared" si="2"/>
        <v>0.99089683074848278</v>
      </c>
      <c r="I10" s="21">
        <f t="shared" si="2"/>
        <v>1.0245660006550934</v>
      </c>
      <c r="J10" s="21">
        <f t="shared" si="2"/>
        <v>1.0151324085750315</v>
      </c>
      <c r="K10" s="21">
        <f t="shared" si="2"/>
        <v>1.0008995502248876</v>
      </c>
      <c r="L10" s="21">
        <f t="shared" si="2"/>
        <v>1.0169194865810969</v>
      </c>
      <c r="M10" s="21">
        <f t="shared" si="2"/>
        <v>1.0129286115795391</v>
      </c>
      <c r="N10" s="21">
        <f>(N2 + N4 - N5 - N6) / N2</f>
        <v>1.2653167185877465</v>
      </c>
    </row>
    <row r="11" spans="1:14" x14ac:dyDescent="0.35">
      <c r="A11" s="14" t="s">
        <v>200</v>
      </c>
      <c r="B11" s="21">
        <f>(B2 - B5 - B6) / B2</f>
        <v>1</v>
      </c>
      <c r="C11" s="21">
        <f t="shared" ref="C11:M11" si="3">(C2 - C5 - C6) / C2</f>
        <v>1</v>
      </c>
      <c r="D11" s="21">
        <f t="shared" si="3"/>
        <v>1</v>
      </c>
      <c r="E11" s="21">
        <f t="shared" si="3"/>
        <v>0.96550356859635211</v>
      </c>
      <c r="F11" s="21">
        <f t="shared" si="3"/>
        <v>1</v>
      </c>
      <c r="G11" s="21">
        <f t="shared" si="3"/>
        <v>0.9942795852699321</v>
      </c>
      <c r="H11" s="21">
        <f t="shared" si="3"/>
        <v>0.97403910991233988</v>
      </c>
      <c r="I11" s="21">
        <f t="shared" si="3"/>
        <v>1</v>
      </c>
      <c r="J11" s="21">
        <f t="shared" si="3"/>
        <v>0.99684741488020179</v>
      </c>
      <c r="K11" s="21">
        <f t="shared" si="3"/>
        <v>0.97811094452773617</v>
      </c>
      <c r="L11" s="21">
        <f t="shared" si="3"/>
        <v>0.99504084014002336</v>
      </c>
      <c r="M11" s="21">
        <f t="shared" si="3"/>
        <v>1</v>
      </c>
      <c r="N11" s="21">
        <f>(N2 - N5 - N6) / N2</f>
        <v>0.85462097611630317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4F7A-62FA-4F8F-9B71-65E518EB8395}">
  <dimension ref="A1:O24"/>
  <sheetViews>
    <sheetView showGridLines="0" workbookViewId="0">
      <selection activeCell="A8" sqref="A8"/>
    </sheetView>
  </sheetViews>
  <sheetFormatPr baseColWidth="10" defaultRowHeight="14.5" x14ac:dyDescent="0.35"/>
  <cols>
    <col min="1" max="1" width="29.1796875" customWidth="1"/>
    <col min="2" max="2" width="21.26953125" bestFit="1" customWidth="1"/>
    <col min="3" max="14" width="17.7265625" bestFit="1" customWidth="1"/>
    <col min="15" max="15" width="12.453125" bestFit="1" customWidth="1"/>
  </cols>
  <sheetData>
    <row r="1" spans="1:15" x14ac:dyDescent="0.35">
      <c r="A1" s="5" t="s">
        <v>189</v>
      </c>
      <c r="B1" s="5" t="s">
        <v>188</v>
      </c>
    </row>
    <row r="2" spans="1:15" x14ac:dyDescent="0.35">
      <c r="A2" s="5" t="s">
        <v>186</v>
      </c>
      <c r="B2" s="1">
        <v>45627</v>
      </c>
      <c r="C2" s="1">
        <v>45658</v>
      </c>
      <c r="D2" s="1">
        <v>45689</v>
      </c>
      <c r="E2" s="1">
        <v>45717</v>
      </c>
      <c r="F2" s="1">
        <v>45748</v>
      </c>
      <c r="G2" s="1">
        <v>45778</v>
      </c>
      <c r="H2" s="1">
        <v>45809</v>
      </c>
      <c r="I2" s="1">
        <v>45839</v>
      </c>
      <c r="J2" s="1">
        <v>45870</v>
      </c>
      <c r="K2" s="1">
        <v>45901</v>
      </c>
      <c r="L2" s="1">
        <v>45931</v>
      </c>
      <c r="M2" s="1">
        <v>45962</v>
      </c>
      <c r="N2" s="1">
        <v>45992</v>
      </c>
      <c r="O2" s="1" t="s">
        <v>187</v>
      </c>
    </row>
    <row r="3" spans="1:15" x14ac:dyDescent="0.35">
      <c r="A3" s="6" t="s">
        <v>10</v>
      </c>
      <c r="B3" s="7">
        <v>280000</v>
      </c>
      <c r="C3" s="7">
        <v>309000</v>
      </c>
      <c r="D3" s="7">
        <v>309000</v>
      </c>
      <c r="E3" s="7">
        <v>361000</v>
      </c>
      <c r="F3" s="7">
        <v>407000</v>
      </c>
      <c r="G3" s="7">
        <v>437000</v>
      </c>
      <c r="H3" s="7">
        <v>481000</v>
      </c>
      <c r="I3" s="7">
        <v>494000</v>
      </c>
      <c r="J3" s="7">
        <v>521000</v>
      </c>
      <c r="K3" s="7">
        <v>562000</v>
      </c>
      <c r="L3" s="7">
        <v>609000</v>
      </c>
      <c r="M3" s="7">
        <v>634000</v>
      </c>
      <c r="N3" s="7">
        <v>659000</v>
      </c>
      <c r="O3" s="7">
        <v>6063000</v>
      </c>
    </row>
    <row r="4" spans="1:15" x14ac:dyDescent="0.35">
      <c r="A4" s="6" t="s">
        <v>21</v>
      </c>
      <c r="B4" s="7">
        <v>83000</v>
      </c>
      <c r="C4" s="7">
        <v>139000</v>
      </c>
      <c r="D4" s="7">
        <v>169000</v>
      </c>
      <c r="E4" s="7">
        <v>169000</v>
      </c>
      <c r="F4" s="7">
        <v>175000</v>
      </c>
      <c r="G4" s="7">
        <v>192000</v>
      </c>
      <c r="H4" s="7">
        <v>231000</v>
      </c>
      <c r="I4" s="7">
        <v>277000</v>
      </c>
      <c r="J4" s="7">
        <v>287000</v>
      </c>
      <c r="K4" s="7">
        <v>306000</v>
      </c>
      <c r="L4" s="7">
        <v>325000</v>
      </c>
      <c r="M4" s="7">
        <v>363000</v>
      </c>
      <c r="N4" s="7">
        <v>384000</v>
      </c>
      <c r="O4" s="7">
        <v>3100000</v>
      </c>
    </row>
    <row r="5" spans="1:15" x14ac:dyDescent="0.35">
      <c r="A5" s="6" t="s">
        <v>28</v>
      </c>
      <c r="B5" s="7">
        <v>1563000</v>
      </c>
      <c r="C5" s="7">
        <v>1710000</v>
      </c>
      <c r="D5" s="7">
        <v>1818000</v>
      </c>
      <c r="E5" s="7">
        <v>1992000</v>
      </c>
      <c r="F5" s="7">
        <v>2018000</v>
      </c>
      <c r="G5" s="7">
        <v>2168000</v>
      </c>
      <c r="H5" s="7">
        <v>2254000</v>
      </c>
      <c r="I5" s="7">
        <v>2282000</v>
      </c>
      <c r="J5" s="7">
        <v>2364000</v>
      </c>
      <c r="K5" s="7">
        <v>2467000</v>
      </c>
      <c r="L5" s="7">
        <v>2494000</v>
      </c>
      <c r="M5" s="7">
        <v>2561000</v>
      </c>
      <c r="N5" s="7">
        <v>2649000</v>
      </c>
      <c r="O5" s="7">
        <v>28340000</v>
      </c>
    </row>
    <row r="6" spans="1:15" x14ac:dyDescent="0.35">
      <c r="A6" s="6" t="s">
        <v>187</v>
      </c>
      <c r="B6" s="7">
        <v>1926000</v>
      </c>
      <c r="C6" s="7">
        <v>2158000</v>
      </c>
      <c r="D6" s="7">
        <v>2296000</v>
      </c>
      <c r="E6" s="7">
        <v>2522000</v>
      </c>
      <c r="F6" s="7">
        <v>2600000</v>
      </c>
      <c r="G6" s="7">
        <v>2797000</v>
      </c>
      <c r="H6" s="7">
        <v>2966000</v>
      </c>
      <c r="I6" s="7">
        <v>3053000</v>
      </c>
      <c r="J6" s="7">
        <v>3172000</v>
      </c>
      <c r="K6" s="7">
        <v>3335000</v>
      </c>
      <c r="L6" s="7">
        <v>3428000</v>
      </c>
      <c r="M6" s="7">
        <v>3558000</v>
      </c>
      <c r="N6" s="7">
        <v>3692000</v>
      </c>
      <c r="O6" s="7">
        <v>37503000</v>
      </c>
    </row>
    <row r="8" spans="1:15" x14ac:dyDescent="0.35">
      <c r="A8" s="14" t="s">
        <v>205</v>
      </c>
      <c r="B8" s="15">
        <f>B2</f>
        <v>45627</v>
      </c>
      <c r="C8" s="15">
        <f t="shared" ref="C8:N8" si="0">C2</f>
        <v>45658</v>
      </c>
      <c r="D8" s="15">
        <f t="shared" si="0"/>
        <v>45689</v>
      </c>
      <c r="E8" s="15">
        <f t="shared" si="0"/>
        <v>45717</v>
      </c>
      <c r="F8" s="15">
        <f t="shared" si="0"/>
        <v>45748</v>
      </c>
      <c r="G8" s="15">
        <f t="shared" si="0"/>
        <v>45778</v>
      </c>
      <c r="H8" s="15">
        <f t="shared" si="0"/>
        <v>45809</v>
      </c>
      <c r="I8" s="15">
        <f t="shared" si="0"/>
        <v>45839</v>
      </c>
      <c r="J8" s="15">
        <f t="shared" si="0"/>
        <v>45870</v>
      </c>
      <c r="K8" s="15">
        <f t="shared" si="0"/>
        <v>45901</v>
      </c>
      <c r="L8" s="15">
        <f t="shared" si="0"/>
        <v>45931</v>
      </c>
      <c r="M8" s="15">
        <f t="shared" si="0"/>
        <v>45962</v>
      </c>
      <c r="N8" s="15">
        <f t="shared" si="0"/>
        <v>45992</v>
      </c>
      <c r="O8" s="1"/>
    </row>
    <row r="9" spans="1:15" x14ac:dyDescent="0.35">
      <c r="A9" s="12" t="s">
        <v>206</v>
      </c>
      <c r="B9" s="13">
        <f>B5 / B$6</f>
        <v>0.81152647975077885</v>
      </c>
      <c r="C9" s="13">
        <f t="shared" ref="C9:O9" si="1">C5 / C$6</f>
        <v>0.79240037071362368</v>
      </c>
      <c r="D9" s="13">
        <f t="shared" si="1"/>
        <v>0.79181184668989546</v>
      </c>
      <c r="E9" s="13">
        <f t="shared" si="1"/>
        <v>0.78984932593180013</v>
      </c>
      <c r="F9" s="13">
        <f t="shared" si="1"/>
        <v>0.77615384615384619</v>
      </c>
      <c r="G9" s="13">
        <f t="shared" si="1"/>
        <v>0.77511619592420455</v>
      </c>
      <c r="H9" s="13">
        <f t="shared" si="1"/>
        <v>0.75994605529332437</v>
      </c>
      <c r="I9" s="13">
        <f t="shared" si="1"/>
        <v>0.74746151326564036</v>
      </c>
      <c r="J9" s="13">
        <f t="shared" si="1"/>
        <v>0.74527112232030268</v>
      </c>
      <c r="K9" s="13">
        <f t="shared" si="1"/>
        <v>0.7397301349325337</v>
      </c>
      <c r="L9" s="13">
        <f t="shared" si="1"/>
        <v>0.72753792298716458</v>
      </c>
      <c r="M9" s="13">
        <f t="shared" si="1"/>
        <v>0.71978639685216417</v>
      </c>
      <c r="N9" s="13">
        <f t="shared" si="1"/>
        <v>0.71749729144095342</v>
      </c>
      <c r="O9" s="4"/>
    </row>
    <row r="10" spans="1:15" x14ac:dyDescent="0.35">
      <c r="A10" s="12" t="s">
        <v>207</v>
      </c>
      <c r="B10" s="13">
        <f>B3 / B$6</f>
        <v>0.14537902388369678</v>
      </c>
      <c r="C10" s="13">
        <f t="shared" ref="C10:O10" si="2">C3 / C$6</f>
        <v>0.14318813716404077</v>
      </c>
      <c r="D10" s="13">
        <f t="shared" si="2"/>
        <v>0.13458188153310105</v>
      </c>
      <c r="E10" s="13">
        <f t="shared" si="2"/>
        <v>0.14314036478984932</v>
      </c>
      <c r="F10" s="13">
        <f t="shared" si="2"/>
        <v>0.15653846153846154</v>
      </c>
      <c r="G10" s="13">
        <f t="shared" si="2"/>
        <v>0.15623882731498034</v>
      </c>
      <c r="H10" s="13">
        <f t="shared" si="2"/>
        <v>0.16217127444369522</v>
      </c>
      <c r="I10" s="13">
        <f t="shared" si="2"/>
        <v>0.16180805764821488</v>
      </c>
      <c r="J10" s="13">
        <f t="shared" si="2"/>
        <v>0.16424968474148802</v>
      </c>
      <c r="K10" s="13">
        <f t="shared" si="2"/>
        <v>0.16851574212893553</v>
      </c>
      <c r="L10" s="13">
        <f t="shared" si="2"/>
        <v>0.17765460910151692</v>
      </c>
      <c r="M10" s="13">
        <f t="shared" si="2"/>
        <v>0.17818999437886454</v>
      </c>
      <c r="N10" s="13">
        <f t="shared" si="2"/>
        <v>0.17849404117009751</v>
      </c>
      <c r="O10" s="4"/>
    </row>
    <row r="11" spans="1:15" x14ac:dyDescent="0.35">
      <c r="A11" s="12" t="s">
        <v>208</v>
      </c>
      <c r="B11" s="13">
        <f>B4 / B$6</f>
        <v>4.3094496365524405E-2</v>
      </c>
      <c r="C11" s="13">
        <f t="shared" ref="C11:O11" si="3">C4 / C$6</f>
        <v>6.441149212233549E-2</v>
      </c>
      <c r="D11" s="13">
        <f t="shared" si="3"/>
        <v>7.360627177700349E-2</v>
      </c>
      <c r="E11" s="13">
        <f t="shared" si="3"/>
        <v>6.7010309278350513E-2</v>
      </c>
      <c r="F11" s="13">
        <f t="shared" si="3"/>
        <v>6.7307692307692304E-2</v>
      </c>
      <c r="G11" s="13">
        <f t="shared" si="3"/>
        <v>6.8644976760815157E-2</v>
      </c>
      <c r="H11" s="13">
        <f t="shared" si="3"/>
        <v>7.7882670262980444E-2</v>
      </c>
      <c r="I11" s="13">
        <f t="shared" si="3"/>
        <v>9.0730429086144773E-2</v>
      </c>
      <c r="J11" s="13">
        <f t="shared" si="3"/>
        <v>9.047919293820933E-2</v>
      </c>
      <c r="K11" s="13">
        <f t="shared" si="3"/>
        <v>9.1754122938530733E-2</v>
      </c>
      <c r="L11" s="13">
        <f t="shared" si="3"/>
        <v>9.4807467911318555E-2</v>
      </c>
      <c r="M11" s="13">
        <f t="shared" si="3"/>
        <v>0.10202360876897133</v>
      </c>
      <c r="N11" s="13">
        <f t="shared" si="3"/>
        <v>0.10400866738894908</v>
      </c>
      <c r="O11" s="4"/>
    </row>
    <row r="12" spans="1:15" x14ac:dyDescent="0.35">
      <c r="A12" s="12" t="s">
        <v>209</v>
      </c>
      <c r="B12" s="13">
        <f>SUM(B9:B11)</f>
        <v>1</v>
      </c>
      <c r="C12" s="13">
        <f t="shared" ref="C12:O12" si="4">SUM(C9:C11)</f>
        <v>1</v>
      </c>
      <c r="D12" s="13">
        <f t="shared" si="4"/>
        <v>1</v>
      </c>
      <c r="E12" s="13">
        <f t="shared" si="4"/>
        <v>1</v>
      </c>
      <c r="F12" s="13">
        <f t="shared" si="4"/>
        <v>1</v>
      </c>
      <c r="G12" s="13">
        <f t="shared" si="4"/>
        <v>1</v>
      </c>
      <c r="H12" s="13">
        <f t="shared" si="4"/>
        <v>1</v>
      </c>
      <c r="I12" s="13">
        <f t="shared" si="4"/>
        <v>1</v>
      </c>
      <c r="J12" s="13">
        <f t="shared" si="4"/>
        <v>1</v>
      </c>
      <c r="K12" s="13">
        <f t="shared" si="4"/>
        <v>0.99999999999999989</v>
      </c>
      <c r="L12" s="13">
        <f t="shared" si="4"/>
        <v>1</v>
      </c>
      <c r="M12" s="13">
        <f t="shared" si="4"/>
        <v>1</v>
      </c>
      <c r="N12" s="13">
        <f t="shared" si="4"/>
        <v>1</v>
      </c>
      <c r="O12" s="4"/>
    </row>
    <row r="15" spans="1:15" x14ac:dyDescent="0.35">
      <c r="A15" t="s">
        <v>210</v>
      </c>
    </row>
    <row r="17" spans="1:1" x14ac:dyDescent="0.35">
      <c r="A17" t="s">
        <v>211</v>
      </c>
    </row>
    <row r="18" spans="1:1" x14ac:dyDescent="0.35">
      <c r="A18" t="s">
        <v>212</v>
      </c>
    </row>
    <row r="19" spans="1:1" x14ac:dyDescent="0.35">
      <c r="A19" t="s">
        <v>213</v>
      </c>
    </row>
    <row r="20" spans="1:1" x14ac:dyDescent="0.35">
      <c r="A20" t="s">
        <v>214</v>
      </c>
    </row>
    <row r="21" spans="1:1" x14ac:dyDescent="0.35">
      <c r="A21" t="s">
        <v>215</v>
      </c>
    </row>
    <row r="22" spans="1:1" x14ac:dyDescent="0.35">
      <c r="A22" t="s">
        <v>216</v>
      </c>
    </row>
    <row r="23" spans="1:1" x14ac:dyDescent="0.35">
      <c r="A23" t="s">
        <v>217</v>
      </c>
    </row>
    <row r="24" spans="1:1" x14ac:dyDescent="0.35">
      <c r="A24" t="s">
        <v>218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616F-8571-499C-8560-76DC12515135}">
  <dimension ref="A1:P44"/>
  <sheetViews>
    <sheetView topLeftCell="A19" workbookViewId="0">
      <selection activeCell="A41" sqref="A41:A44"/>
    </sheetView>
  </sheetViews>
  <sheetFormatPr baseColWidth="10" defaultRowHeight="14.5" x14ac:dyDescent="0.35"/>
  <cols>
    <col min="1" max="1" width="26.90625" bestFit="1" customWidth="1"/>
    <col min="2" max="2" width="25.08984375" bestFit="1" customWidth="1"/>
    <col min="3" max="15" width="17.7265625" bestFit="1" customWidth="1"/>
    <col min="16" max="16" width="12.453125" bestFit="1" customWidth="1"/>
    <col min="17" max="17" width="9.54296875" bestFit="1" customWidth="1"/>
    <col min="18" max="18" width="11.7265625" bestFit="1" customWidth="1"/>
  </cols>
  <sheetData>
    <row r="1" spans="1:16" x14ac:dyDescent="0.35">
      <c r="A1" s="5" t="s">
        <v>189</v>
      </c>
      <c r="C1" s="5" t="s">
        <v>3</v>
      </c>
    </row>
    <row r="2" spans="1:16" x14ac:dyDescent="0.35">
      <c r="A2" s="5" t="s">
        <v>0</v>
      </c>
      <c r="B2" s="5" t="s">
        <v>159</v>
      </c>
      <c r="C2" s="1">
        <v>45627</v>
      </c>
      <c r="D2" s="1">
        <v>45658</v>
      </c>
      <c r="E2" s="1">
        <v>45689</v>
      </c>
      <c r="F2" s="1">
        <v>45717</v>
      </c>
      <c r="G2" s="1">
        <v>45748</v>
      </c>
      <c r="H2" s="1">
        <v>45778</v>
      </c>
      <c r="I2" s="1">
        <v>45809</v>
      </c>
      <c r="J2" s="1">
        <v>45839</v>
      </c>
      <c r="K2" s="1">
        <v>45870</v>
      </c>
      <c r="L2" s="1">
        <v>45901</v>
      </c>
      <c r="M2" s="1">
        <v>45931</v>
      </c>
      <c r="N2" s="1">
        <v>45962</v>
      </c>
      <c r="O2" s="1">
        <v>45992</v>
      </c>
      <c r="P2" s="1" t="s">
        <v>187</v>
      </c>
    </row>
    <row r="3" spans="1:16" x14ac:dyDescent="0.35">
      <c r="A3" t="s">
        <v>72</v>
      </c>
      <c r="B3" t="s">
        <v>73</v>
      </c>
      <c r="C3" s="7">
        <v>144000</v>
      </c>
      <c r="D3" s="7">
        <v>144000</v>
      </c>
      <c r="E3" s="7">
        <v>144000</v>
      </c>
      <c r="F3" s="7">
        <v>144000</v>
      </c>
      <c r="G3" s="7">
        <v>144000</v>
      </c>
      <c r="H3" s="7">
        <v>144000</v>
      </c>
      <c r="I3" s="7">
        <v>144000</v>
      </c>
      <c r="J3" s="7">
        <v>166000</v>
      </c>
      <c r="K3" s="7">
        <v>166000</v>
      </c>
      <c r="L3" s="7">
        <v>166000</v>
      </c>
      <c r="M3" s="7">
        <v>166000</v>
      </c>
      <c r="N3" s="7">
        <v>166000</v>
      </c>
      <c r="O3" s="7">
        <v>166000</v>
      </c>
      <c r="P3" s="7">
        <v>2004000</v>
      </c>
    </row>
    <row r="4" spans="1:16" x14ac:dyDescent="0.35">
      <c r="A4" t="s">
        <v>26</v>
      </c>
      <c r="B4" t="s">
        <v>27</v>
      </c>
      <c r="C4" s="7">
        <v>47000</v>
      </c>
      <c r="D4" s="7">
        <v>47000</v>
      </c>
      <c r="E4" s="7">
        <v>58000</v>
      </c>
      <c r="F4" s="7">
        <v>58000</v>
      </c>
      <c r="G4" s="7">
        <v>58000</v>
      </c>
      <c r="H4" s="7">
        <v>72000</v>
      </c>
      <c r="I4" s="7">
        <v>72000</v>
      </c>
      <c r="J4" s="7">
        <v>72000</v>
      </c>
      <c r="K4" s="7">
        <v>82000</v>
      </c>
      <c r="L4" s="7">
        <v>82000</v>
      </c>
      <c r="M4" s="7">
        <v>82000</v>
      </c>
      <c r="N4" s="7">
        <v>107000</v>
      </c>
      <c r="O4" s="7">
        <v>107000</v>
      </c>
      <c r="P4" s="7">
        <v>944000</v>
      </c>
    </row>
    <row r="5" spans="1:16" x14ac:dyDescent="0.35">
      <c r="A5" t="s">
        <v>70</v>
      </c>
      <c r="B5" t="s">
        <v>71</v>
      </c>
      <c r="C5" s="7">
        <v>85000</v>
      </c>
      <c r="D5" s="7">
        <v>94000</v>
      </c>
      <c r="E5" s="7">
        <v>94000</v>
      </c>
      <c r="F5" s="7">
        <v>94000</v>
      </c>
      <c r="G5" s="7">
        <v>94000</v>
      </c>
      <c r="H5" s="7">
        <v>94000</v>
      </c>
      <c r="I5" s="7">
        <v>94000</v>
      </c>
      <c r="J5" s="7">
        <v>94000</v>
      </c>
      <c r="K5" s="7">
        <v>121000</v>
      </c>
      <c r="L5" s="7">
        <v>121000</v>
      </c>
      <c r="M5" s="7">
        <v>121000</v>
      </c>
      <c r="N5" s="7">
        <v>121000</v>
      </c>
      <c r="O5" s="7">
        <v>121000</v>
      </c>
      <c r="P5" s="7">
        <v>1348000</v>
      </c>
    </row>
    <row r="6" spans="1:16" x14ac:dyDescent="0.35">
      <c r="A6" t="s">
        <v>51</v>
      </c>
      <c r="B6" t="s">
        <v>52</v>
      </c>
      <c r="C6" s="7">
        <v>86000</v>
      </c>
      <c r="D6" s="7">
        <v>86000</v>
      </c>
      <c r="E6" s="7">
        <v>86000</v>
      </c>
      <c r="F6" s="7">
        <v>87000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345000</v>
      </c>
    </row>
    <row r="7" spans="1:16" x14ac:dyDescent="0.35">
      <c r="A7" t="s">
        <v>22</v>
      </c>
      <c r="B7" t="s">
        <v>23</v>
      </c>
      <c r="C7" s="7">
        <v>111000</v>
      </c>
      <c r="D7" s="7">
        <v>111000</v>
      </c>
      <c r="E7" s="7">
        <v>111000</v>
      </c>
      <c r="F7" s="7">
        <v>111000</v>
      </c>
      <c r="G7" s="7">
        <v>111000</v>
      </c>
      <c r="H7" s="7">
        <v>126000</v>
      </c>
      <c r="I7" s="7">
        <v>126000</v>
      </c>
      <c r="J7" s="7">
        <v>126000</v>
      </c>
      <c r="K7" s="7">
        <v>147000</v>
      </c>
      <c r="L7" s="7">
        <v>147000</v>
      </c>
      <c r="M7" s="7">
        <v>147000</v>
      </c>
      <c r="N7" s="7">
        <v>147000</v>
      </c>
      <c r="O7" s="7">
        <v>147000</v>
      </c>
      <c r="P7" s="7">
        <v>1668000</v>
      </c>
    </row>
    <row r="8" spans="1:16" x14ac:dyDescent="0.35">
      <c r="A8" t="s">
        <v>74</v>
      </c>
      <c r="B8" t="s">
        <v>75</v>
      </c>
      <c r="C8" s="7">
        <v>120000</v>
      </c>
      <c r="D8" s="7">
        <v>120000</v>
      </c>
      <c r="E8" s="7">
        <v>120000</v>
      </c>
      <c r="F8" s="7">
        <v>120000</v>
      </c>
      <c r="G8" s="7">
        <v>120000</v>
      </c>
      <c r="H8" s="7">
        <v>155000</v>
      </c>
      <c r="I8" s="7">
        <v>155000</v>
      </c>
      <c r="J8" s="7">
        <v>155000</v>
      </c>
      <c r="K8" s="7">
        <v>155000</v>
      </c>
      <c r="L8" s="7">
        <v>155000</v>
      </c>
      <c r="M8" s="7">
        <v>155000</v>
      </c>
      <c r="N8" s="7">
        <v>155000</v>
      </c>
      <c r="O8" s="7">
        <v>155000</v>
      </c>
      <c r="P8" s="7">
        <v>1840000</v>
      </c>
    </row>
    <row r="9" spans="1:16" x14ac:dyDescent="0.35">
      <c r="A9" t="s">
        <v>62</v>
      </c>
      <c r="B9" t="s">
        <v>63</v>
      </c>
      <c r="C9" s="7">
        <v>62000</v>
      </c>
      <c r="D9" s="7">
        <v>62000</v>
      </c>
      <c r="E9" s="7">
        <v>62000</v>
      </c>
      <c r="F9" s="7">
        <v>62000</v>
      </c>
      <c r="G9" s="7">
        <v>62000</v>
      </c>
      <c r="H9" s="7">
        <v>62000</v>
      </c>
      <c r="I9" s="7">
        <v>46000</v>
      </c>
      <c r="J9" s="7">
        <v>46000</v>
      </c>
      <c r="K9" s="7">
        <v>46000</v>
      </c>
      <c r="L9" s="7">
        <v>36000</v>
      </c>
      <c r="M9" s="7">
        <v>36000</v>
      </c>
      <c r="N9" s="7">
        <v>36000</v>
      </c>
      <c r="O9" s="7">
        <v>36000</v>
      </c>
      <c r="P9" s="7">
        <v>654000</v>
      </c>
    </row>
    <row r="10" spans="1:16" x14ac:dyDescent="0.35">
      <c r="A10" t="s">
        <v>5</v>
      </c>
      <c r="B10" t="s">
        <v>6</v>
      </c>
      <c r="C10" s="7">
        <v>85000</v>
      </c>
      <c r="D10" s="7">
        <v>85000</v>
      </c>
      <c r="E10" s="7">
        <v>104000</v>
      </c>
      <c r="F10" s="7">
        <v>128000</v>
      </c>
      <c r="G10" s="7">
        <v>128000</v>
      </c>
      <c r="H10" s="7">
        <v>128000</v>
      </c>
      <c r="I10" s="7">
        <v>128000</v>
      </c>
      <c r="J10" s="7">
        <v>128000</v>
      </c>
      <c r="K10" s="7">
        <v>140000</v>
      </c>
      <c r="L10" s="7">
        <v>140000</v>
      </c>
      <c r="M10" s="7">
        <v>140000</v>
      </c>
      <c r="N10" s="7">
        <v>140000</v>
      </c>
      <c r="O10" s="7">
        <v>140000</v>
      </c>
      <c r="P10" s="7">
        <v>1614000</v>
      </c>
    </row>
    <row r="11" spans="1:16" x14ac:dyDescent="0.35">
      <c r="A11" t="s">
        <v>17</v>
      </c>
      <c r="B11" t="s">
        <v>18</v>
      </c>
      <c r="C11" s="7">
        <v>98000</v>
      </c>
      <c r="D11" s="7">
        <v>98000</v>
      </c>
      <c r="E11" s="7">
        <v>98000</v>
      </c>
      <c r="F11" s="7">
        <v>98000</v>
      </c>
      <c r="G11" s="7">
        <v>129000</v>
      </c>
      <c r="H11" s="7">
        <v>129000</v>
      </c>
      <c r="I11" s="7">
        <v>129000</v>
      </c>
      <c r="J11" s="7">
        <v>136000</v>
      </c>
      <c r="K11" s="7">
        <v>136000</v>
      </c>
      <c r="L11" s="7">
        <v>145000</v>
      </c>
      <c r="M11" s="7">
        <v>145000</v>
      </c>
      <c r="N11" s="7">
        <v>145000</v>
      </c>
      <c r="O11" s="7">
        <v>147000</v>
      </c>
      <c r="P11" s="7">
        <v>1633000</v>
      </c>
    </row>
    <row r="12" spans="1:16" x14ac:dyDescent="0.35">
      <c r="A12" t="s">
        <v>11</v>
      </c>
      <c r="B12" t="s">
        <v>59</v>
      </c>
      <c r="C12" s="7">
        <v>157000</v>
      </c>
      <c r="D12" s="7">
        <v>181000</v>
      </c>
      <c r="E12" s="7">
        <v>181000</v>
      </c>
      <c r="F12" s="7">
        <v>181000</v>
      </c>
      <c r="G12" s="7">
        <v>184000</v>
      </c>
      <c r="H12" s="7">
        <v>184000</v>
      </c>
      <c r="I12" s="7">
        <v>184000</v>
      </c>
      <c r="J12" s="7">
        <v>184000</v>
      </c>
      <c r="K12" s="7">
        <v>184000</v>
      </c>
      <c r="L12" s="7">
        <v>184000</v>
      </c>
      <c r="M12" s="7">
        <v>184000</v>
      </c>
      <c r="N12" s="7">
        <v>184000</v>
      </c>
      <c r="O12" s="7">
        <v>184000</v>
      </c>
      <c r="P12" s="7">
        <v>2356000</v>
      </c>
    </row>
    <row r="13" spans="1:16" x14ac:dyDescent="0.35">
      <c r="A13" t="s">
        <v>31</v>
      </c>
      <c r="B13" t="s">
        <v>32</v>
      </c>
      <c r="C13" s="7">
        <v>77000</v>
      </c>
      <c r="D13" s="7">
        <v>77000</v>
      </c>
      <c r="E13" s="7">
        <v>77000</v>
      </c>
      <c r="F13" s="7">
        <v>77000</v>
      </c>
      <c r="G13" s="7">
        <v>77000</v>
      </c>
      <c r="H13" s="7">
        <v>77000</v>
      </c>
      <c r="I13" s="7">
        <v>77000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539000</v>
      </c>
    </row>
    <row r="14" spans="1:16" x14ac:dyDescent="0.35">
      <c r="A14" t="s">
        <v>43</v>
      </c>
      <c r="B14" t="s">
        <v>44</v>
      </c>
      <c r="C14" s="7">
        <v>115000</v>
      </c>
      <c r="D14" s="7">
        <v>115000</v>
      </c>
      <c r="E14" s="7">
        <v>115000</v>
      </c>
      <c r="F14" s="7">
        <v>115000</v>
      </c>
      <c r="G14" s="7">
        <v>119000</v>
      </c>
      <c r="H14" s="7">
        <v>119000</v>
      </c>
      <c r="I14" s="7">
        <v>119000</v>
      </c>
      <c r="J14" s="7">
        <v>119000</v>
      </c>
      <c r="K14" s="7">
        <v>119000</v>
      </c>
      <c r="L14" s="7">
        <v>119000</v>
      </c>
      <c r="M14" s="7">
        <v>119000</v>
      </c>
      <c r="N14" s="7">
        <v>119000</v>
      </c>
      <c r="O14" s="7">
        <v>119000</v>
      </c>
      <c r="P14" s="7">
        <v>1531000</v>
      </c>
    </row>
    <row r="15" spans="1:16" x14ac:dyDescent="0.35">
      <c r="A15" t="s">
        <v>19</v>
      </c>
      <c r="B15" t="s">
        <v>20</v>
      </c>
      <c r="C15" s="7">
        <v>91000</v>
      </c>
      <c r="D15" s="7">
        <v>101000</v>
      </c>
      <c r="E15" s="7">
        <v>119000</v>
      </c>
      <c r="F15" s="7">
        <v>119000</v>
      </c>
      <c r="G15" s="7">
        <v>119000</v>
      </c>
      <c r="H15" s="7">
        <v>119000</v>
      </c>
      <c r="I15" s="7">
        <v>119000</v>
      </c>
      <c r="J15" s="7">
        <v>119000</v>
      </c>
      <c r="K15" s="7">
        <v>119000</v>
      </c>
      <c r="L15" s="7">
        <v>119000</v>
      </c>
      <c r="M15" s="7">
        <v>130000</v>
      </c>
      <c r="N15" s="7">
        <v>130000</v>
      </c>
      <c r="O15" s="7">
        <v>130000</v>
      </c>
      <c r="P15" s="7">
        <v>1534000</v>
      </c>
    </row>
    <row r="16" spans="1:16" x14ac:dyDescent="0.35">
      <c r="A16" t="s">
        <v>48</v>
      </c>
      <c r="B16" t="s">
        <v>49</v>
      </c>
      <c r="C16" s="7">
        <v>126000</v>
      </c>
      <c r="D16" s="7">
        <v>126000</v>
      </c>
      <c r="E16" s="7">
        <v>137000</v>
      </c>
      <c r="F16" s="7">
        <v>149000</v>
      </c>
      <c r="G16" s="7">
        <v>149000</v>
      </c>
      <c r="H16" s="7">
        <v>149000</v>
      </c>
      <c r="I16" s="7">
        <v>149000</v>
      </c>
      <c r="J16" s="7">
        <v>149000</v>
      </c>
      <c r="K16" s="7">
        <v>149000</v>
      </c>
      <c r="L16" s="7">
        <v>149000</v>
      </c>
      <c r="M16" s="7">
        <v>149000</v>
      </c>
      <c r="N16" s="7">
        <v>149000</v>
      </c>
      <c r="O16" s="7">
        <v>149000</v>
      </c>
      <c r="P16" s="7">
        <v>1879000</v>
      </c>
    </row>
    <row r="17" spans="1:16" x14ac:dyDescent="0.35">
      <c r="A17" t="s">
        <v>60</v>
      </c>
      <c r="B17" t="s">
        <v>61</v>
      </c>
      <c r="C17" s="7">
        <v>76000</v>
      </c>
      <c r="D17" s="7">
        <v>76000</v>
      </c>
      <c r="E17" s="7">
        <v>76000</v>
      </c>
      <c r="F17" s="7">
        <v>76000</v>
      </c>
      <c r="G17" s="7">
        <v>76000</v>
      </c>
      <c r="H17" s="7">
        <v>76000</v>
      </c>
      <c r="I17" s="7">
        <v>76000</v>
      </c>
      <c r="J17" s="7">
        <v>76000</v>
      </c>
      <c r="K17" s="7">
        <v>76000</v>
      </c>
      <c r="L17" s="7">
        <v>76000</v>
      </c>
      <c r="M17" s="7">
        <v>76000</v>
      </c>
      <c r="N17" s="7">
        <v>76000</v>
      </c>
      <c r="O17" s="7">
        <v>76000</v>
      </c>
      <c r="P17" s="7">
        <v>988000</v>
      </c>
    </row>
    <row r="18" spans="1:16" x14ac:dyDescent="0.35">
      <c r="A18" t="s">
        <v>29</v>
      </c>
      <c r="B18" t="s">
        <v>46</v>
      </c>
      <c r="C18" s="7">
        <v>88000</v>
      </c>
      <c r="D18" s="7">
        <v>96000</v>
      </c>
      <c r="E18" s="7">
        <v>96000</v>
      </c>
      <c r="F18" s="7">
        <v>96000</v>
      </c>
      <c r="G18" s="7">
        <v>96000</v>
      </c>
      <c r="H18" s="7">
        <v>96000</v>
      </c>
      <c r="I18" s="7">
        <v>96000</v>
      </c>
      <c r="J18" s="7">
        <v>96000</v>
      </c>
      <c r="K18" s="7">
        <v>96000</v>
      </c>
      <c r="L18" s="7">
        <v>96000</v>
      </c>
      <c r="M18" s="7">
        <v>96000</v>
      </c>
      <c r="N18" s="7">
        <v>108000</v>
      </c>
      <c r="O18" s="7">
        <v>108000</v>
      </c>
      <c r="P18" s="7">
        <v>1264000</v>
      </c>
    </row>
    <row r="19" spans="1:16" x14ac:dyDescent="0.35">
      <c r="A19" t="s">
        <v>87</v>
      </c>
      <c r="B19" t="s">
        <v>88</v>
      </c>
      <c r="C19" s="7">
        <v>73000</v>
      </c>
      <c r="D19" s="7">
        <v>73000</v>
      </c>
      <c r="E19" s="7">
        <v>73000</v>
      </c>
      <c r="F19" s="7">
        <v>73000</v>
      </c>
      <c r="G19" s="7">
        <v>73000</v>
      </c>
      <c r="H19" s="7">
        <v>73000</v>
      </c>
      <c r="I19" s="7">
        <v>73000</v>
      </c>
      <c r="J19" s="7">
        <v>73000</v>
      </c>
      <c r="K19" s="7">
        <v>73000</v>
      </c>
      <c r="L19" s="7">
        <v>73000</v>
      </c>
      <c r="M19" s="7">
        <v>0</v>
      </c>
      <c r="N19" s="7">
        <v>0</v>
      </c>
      <c r="O19" s="7">
        <v>0</v>
      </c>
      <c r="P19" s="7">
        <v>730000</v>
      </c>
    </row>
    <row r="20" spans="1:16" x14ac:dyDescent="0.35">
      <c r="A20" t="s">
        <v>24</v>
      </c>
      <c r="B20" t="s">
        <v>45</v>
      </c>
      <c r="C20" s="7">
        <v>131000</v>
      </c>
      <c r="D20" s="7">
        <v>131000</v>
      </c>
      <c r="E20" s="7">
        <v>131000</v>
      </c>
      <c r="F20" s="7">
        <v>138000</v>
      </c>
      <c r="G20" s="7">
        <v>160000</v>
      </c>
      <c r="H20" s="7">
        <v>160000</v>
      </c>
      <c r="I20" s="7">
        <v>160000</v>
      </c>
      <c r="J20" s="7">
        <v>160000</v>
      </c>
      <c r="K20" s="7">
        <v>160000</v>
      </c>
      <c r="L20" s="7">
        <v>160000</v>
      </c>
      <c r="M20" s="7">
        <v>160000</v>
      </c>
      <c r="N20" s="7">
        <v>160000</v>
      </c>
      <c r="O20" s="7">
        <v>160000</v>
      </c>
      <c r="P20" s="7">
        <v>1971000</v>
      </c>
    </row>
    <row r="21" spans="1:16" x14ac:dyDescent="0.35">
      <c r="A21" t="s">
        <v>39</v>
      </c>
      <c r="B21" t="s">
        <v>40</v>
      </c>
      <c r="C21" s="7">
        <v>60000</v>
      </c>
      <c r="D21" s="7">
        <v>60000</v>
      </c>
      <c r="E21" s="7">
        <v>60000</v>
      </c>
      <c r="F21" s="7">
        <v>86000</v>
      </c>
      <c r="G21" s="7">
        <v>86000</v>
      </c>
      <c r="H21" s="7">
        <v>86000</v>
      </c>
      <c r="I21" s="7">
        <v>110000</v>
      </c>
      <c r="J21" s="7">
        <v>110000</v>
      </c>
      <c r="K21" s="7">
        <v>110000</v>
      </c>
      <c r="L21" s="7">
        <v>110000</v>
      </c>
      <c r="M21" s="7">
        <v>110000</v>
      </c>
      <c r="N21" s="7">
        <v>110000</v>
      </c>
      <c r="O21" s="7">
        <v>110000</v>
      </c>
      <c r="P21" s="7">
        <v>1208000</v>
      </c>
    </row>
    <row r="22" spans="1:16" x14ac:dyDescent="0.35">
      <c r="A22" t="s">
        <v>53</v>
      </c>
      <c r="B22" t="s">
        <v>54</v>
      </c>
      <c r="C22" s="7">
        <v>94000</v>
      </c>
      <c r="D22" s="7">
        <v>98000</v>
      </c>
      <c r="E22" s="7">
        <v>98000</v>
      </c>
      <c r="F22" s="7">
        <v>98000</v>
      </c>
      <c r="G22" s="7">
        <v>98000</v>
      </c>
      <c r="H22" s="7">
        <v>98000</v>
      </c>
      <c r="I22" s="7">
        <v>98000</v>
      </c>
      <c r="J22" s="7">
        <v>108000</v>
      </c>
      <c r="K22" s="7">
        <v>108000</v>
      </c>
      <c r="L22" s="7">
        <v>108000</v>
      </c>
      <c r="M22" s="7">
        <v>113000</v>
      </c>
      <c r="N22" s="7">
        <v>113000</v>
      </c>
      <c r="O22" s="7">
        <v>113000</v>
      </c>
      <c r="P22" s="7">
        <v>1345000</v>
      </c>
    </row>
    <row r="23" spans="1:16" x14ac:dyDescent="0.35">
      <c r="A23" t="s">
        <v>41</v>
      </c>
      <c r="B23" t="s">
        <v>42</v>
      </c>
      <c r="C23" s="7">
        <v>0</v>
      </c>
      <c r="D23" s="7">
        <v>128000</v>
      </c>
      <c r="E23" s="7">
        <v>141000</v>
      </c>
      <c r="F23" s="7">
        <v>141000</v>
      </c>
      <c r="G23" s="7">
        <v>141000</v>
      </c>
      <c r="H23" s="7">
        <v>141000</v>
      </c>
      <c r="I23" s="7">
        <v>141000</v>
      </c>
      <c r="J23" s="7">
        <v>141000</v>
      </c>
      <c r="K23" s="7">
        <v>141000</v>
      </c>
      <c r="L23" s="7">
        <v>141000</v>
      </c>
      <c r="M23" s="7">
        <v>141000</v>
      </c>
      <c r="N23" s="7">
        <v>141000</v>
      </c>
      <c r="O23" s="7">
        <v>145000</v>
      </c>
      <c r="P23" s="7">
        <v>1683000</v>
      </c>
    </row>
    <row r="24" spans="1:16" x14ac:dyDescent="0.35">
      <c r="A24" t="s">
        <v>78</v>
      </c>
      <c r="B24" t="s">
        <v>79</v>
      </c>
      <c r="C24" s="7">
        <v>0</v>
      </c>
      <c r="D24" s="7">
        <v>49000</v>
      </c>
      <c r="E24" s="7">
        <v>49000</v>
      </c>
      <c r="F24" s="7">
        <v>49000</v>
      </c>
      <c r="G24" s="7">
        <v>49000</v>
      </c>
      <c r="H24" s="7">
        <v>49000</v>
      </c>
      <c r="I24" s="7">
        <v>49000</v>
      </c>
      <c r="J24" s="7">
        <v>49000</v>
      </c>
      <c r="K24" s="7">
        <v>49000</v>
      </c>
      <c r="L24" s="7">
        <v>49000</v>
      </c>
      <c r="M24" s="7">
        <v>66000</v>
      </c>
      <c r="N24" s="7">
        <v>94000</v>
      </c>
      <c r="O24" s="7">
        <v>94000</v>
      </c>
      <c r="P24" s="7">
        <v>695000</v>
      </c>
    </row>
    <row r="25" spans="1:16" x14ac:dyDescent="0.35">
      <c r="A25" t="s">
        <v>33</v>
      </c>
      <c r="B25" t="s">
        <v>34</v>
      </c>
      <c r="C25" s="7">
        <v>0</v>
      </c>
      <c r="D25" s="7">
        <v>0</v>
      </c>
      <c r="E25" s="7">
        <v>66000</v>
      </c>
      <c r="F25" s="7">
        <v>66000</v>
      </c>
      <c r="G25" s="7">
        <v>66000</v>
      </c>
      <c r="H25" s="7">
        <v>66000</v>
      </c>
      <c r="I25" s="7">
        <v>83000</v>
      </c>
      <c r="J25" s="7">
        <v>94000</v>
      </c>
      <c r="K25" s="7">
        <v>94000</v>
      </c>
      <c r="L25" s="7">
        <v>94000</v>
      </c>
      <c r="M25" s="7">
        <v>94000</v>
      </c>
      <c r="N25" s="7">
        <v>94000</v>
      </c>
      <c r="O25" s="7">
        <v>94000</v>
      </c>
      <c r="P25" s="7">
        <v>911000</v>
      </c>
    </row>
    <row r="26" spans="1:16" x14ac:dyDescent="0.35">
      <c r="A26" t="s">
        <v>14</v>
      </c>
      <c r="B26" t="s">
        <v>15</v>
      </c>
      <c r="C26" s="7">
        <v>0</v>
      </c>
      <c r="D26" s="7">
        <v>0</v>
      </c>
      <c r="E26" s="7">
        <v>0</v>
      </c>
      <c r="F26" s="7">
        <v>66000</v>
      </c>
      <c r="G26" s="7">
        <v>66000</v>
      </c>
      <c r="H26" s="7">
        <v>79000</v>
      </c>
      <c r="I26" s="7">
        <v>79000</v>
      </c>
      <c r="J26" s="7">
        <v>79000</v>
      </c>
      <c r="K26" s="7">
        <v>79000</v>
      </c>
      <c r="L26" s="7">
        <v>79000</v>
      </c>
      <c r="M26" s="7">
        <v>79000</v>
      </c>
      <c r="N26" s="7">
        <v>62000</v>
      </c>
      <c r="O26" s="7">
        <v>62000</v>
      </c>
      <c r="P26" s="7">
        <v>730000</v>
      </c>
    </row>
    <row r="27" spans="1:16" x14ac:dyDescent="0.35">
      <c r="A27" t="s">
        <v>91</v>
      </c>
      <c r="B27" t="s">
        <v>92</v>
      </c>
      <c r="C27" s="7">
        <v>0</v>
      </c>
      <c r="D27" s="7">
        <v>0</v>
      </c>
      <c r="E27" s="7">
        <v>0</v>
      </c>
      <c r="F27" s="7">
        <v>90000</v>
      </c>
      <c r="G27" s="7">
        <v>90000</v>
      </c>
      <c r="H27" s="7">
        <v>90000</v>
      </c>
      <c r="I27" s="7">
        <v>105000</v>
      </c>
      <c r="J27" s="7">
        <v>105000</v>
      </c>
      <c r="K27" s="7">
        <v>105000</v>
      </c>
      <c r="L27" s="7">
        <v>135000</v>
      </c>
      <c r="M27" s="7">
        <v>160000</v>
      </c>
      <c r="N27" s="7">
        <v>164000</v>
      </c>
      <c r="O27" s="7">
        <v>164000</v>
      </c>
      <c r="P27" s="7">
        <v>1208000</v>
      </c>
    </row>
    <row r="28" spans="1:16" x14ac:dyDescent="0.35">
      <c r="A28" t="s">
        <v>8</v>
      </c>
      <c r="B28" t="s">
        <v>9</v>
      </c>
      <c r="C28" s="7">
        <v>0</v>
      </c>
      <c r="D28" s="7">
        <v>0</v>
      </c>
      <c r="E28" s="7">
        <v>0</v>
      </c>
      <c r="F28" s="7">
        <v>0</v>
      </c>
      <c r="G28" s="7">
        <v>105000</v>
      </c>
      <c r="H28" s="7">
        <v>122000</v>
      </c>
      <c r="I28" s="7">
        <v>122000</v>
      </c>
      <c r="J28" s="7">
        <v>122000</v>
      </c>
      <c r="K28" s="7">
        <v>122000</v>
      </c>
      <c r="L28" s="7">
        <v>122000</v>
      </c>
      <c r="M28" s="7">
        <v>122000</v>
      </c>
      <c r="N28" s="7">
        <v>122000</v>
      </c>
      <c r="O28" s="7">
        <v>122000</v>
      </c>
      <c r="P28" s="7">
        <v>1081000</v>
      </c>
    </row>
    <row r="29" spans="1:16" x14ac:dyDescent="0.35">
      <c r="A29" t="s">
        <v>37</v>
      </c>
      <c r="B29" t="s">
        <v>38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103000</v>
      </c>
      <c r="I29" s="7">
        <v>107000</v>
      </c>
      <c r="J29" s="7">
        <v>107000</v>
      </c>
      <c r="K29" s="7">
        <v>107000</v>
      </c>
      <c r="L29" s="7">
        <v>107000</v>
      </c>
      <c r="M29" s="7">
        <v>107000</v>
      </c>
      <c r="N29" s="7">
        <v>107000</v>
      </c>
      <c r="O29" s="7">
        <v>107000</v>
      </c>
      <c r="P29" s="7">
        <v>852000</v>
      </c>
    </row>
    <row r="30" spans="1:16" x14ac:dyDescent="0.35">
      <c r="A30" t="s">
        <v>57</v>
      </c>
      <c r="B30" t="s">
        <v>58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90000</v>
      </c>
      <c r="J30" s="7">
        <v>90000</v>
      </c>
      <c r="K30" s="7">
        <v>90000</v>
      </c>
      <c r="L30" s="7">
        <v>90000</v>
      </c>
      <c r="M30" s="7">
        <v>90000</v>
      </c>
      <c r="N30" s="7">
        <v>90000</v>
      </c>
      <c r="O30" s="7">
        <v>90000</v>
      </c>
      <c r="P30" s="7">
        <v>630000</v>
      </c>
    </row>
    <row r="31" spans="1:16" x14ac:dyDescent="0.35">
      <c r="A31" t="s">
        <v>68</v>
      </c>
      <c r="B31" t="s">
        <v>69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35000</v>
      </c>
      <c r="J31" s="7">
        <v>35000</v>
      </c>
      <c r="K31" s="7">
        <v>40000</v>
      </c>
      <c r="L31" s="7">
        <v>40000</v>
      </c>
      <c r="M31" s="7">
        <v>40000</v>
      </c>
      <c r="N31" s="7">
        <v>40000</v>
      </c>
      <c r="O31" s="7">
        <v>59000</v>
      </c>
      <c r="P31" s="7">
        <v>289000</v>
      </c>
    </row>
    <row r="32" spans="1:16" x14ac:dyDescent="0.35">
      <c r="A32" t="s">
        <v>66</v>
      </c>
      <c r="B32" t="s">
        <v>67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114000</v>
      </c>
      <c r="K32" s="7">
        <v>114000</v>
      </c>
      <c r="L32" s="7">
        <v>133000</v>
      </c>
      <c r="M32" s="7">
        <v>133000</v>
      </c>
      <c r="N32" s="7">
        <v>139000</v>
      </c>
      <c r="O32" s="7">
        <v>139000</v>
      </c>
      <c r="P32" s="7">
        <v>772000</v>
      </c>
    </row>
    <row r="33" spans="1:16" x14ac:dyDescent="0.35">
      <c r="A33" t="s">
        <v>84</v>
      </c>
      <c r="B33" t="s">
        <v>85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44000</v>
      </c>
      <c r="L33" s="7">
        <v>44000</v>
      </c>
      <c r="M33" s="7">
        <v>44000</v>
      </c>
      <c r="N33" s="7">
        <v>44000</v>
      </c>
      <c r="O33" s="7">
        <v>44000</v>
      </c>
      <c r="P33" s="7">
        <v>220000</v>
      </c>
    </row>
    <row r="34" spans="1:16" x14ac:dyDescent="0.35">
      <c r="A34" t="s">
        <v>55</v>
      </c>
      <c r="B34" t="s">
        <v>56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69000</v>
      </c>
      <c r="M34" s="7">
        <v>87000</v>
      </c>
      <c r="N34" s="7">
        <v>87000</v>
      </c>
      <c r="O34" s="7">
        <v>87000</v>
      </c>
      <c r="P34" s="7">
        <v>330000</v>
      </c>
    </row>
    <row r="35" spans="1:16" x14ac:dyDescent="0.35">
      <c r="A35" t="s">
        <v>35</v>
      </c>
      <c r="B35" t="s">
        <v>36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46000</v>
      </c>
      <c r="M35" s="7">
        <v>46000</v>
      </c>
      <c r="N35" s="7">
        <v>46000</v>
      </c>
      <c r="O35" s="7">
        <v>49000</v>
      </c>
      <c r="P35" s="7">
        <v>187000</v>
      </c>
    </row>
    <row r="36" spans="1:16" x14ac:dyDescent="0.35">
      <c r="A36" t="s">
        <v>89</v>
      </c>
      <c r="B36" t="s">
        <v>90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90000</v>
      </c>
      <c r="N36" s="7">
        <v>90000</v>
      </c>
      <c r="O36" s="7">
        <v>108000</v>
      </c>
      <c r="P36" s="7">
        <v>288000</v>
      </c>
    </row>
    <row r="37" spans="1:16" x14ac:dyDescent="0.35">
      <c r="A37" t="s">
        <v>111</v>
      </c>
      <c r="B37" t="s">
        <v>112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72000</v>
      </c>
      <c r="O37" s="7">
        <v>72000</v>
      </c>
      <c r="P37" s="7">
        <v>144000</v>
      </c>
    </row>
    <row r="38" spans="1:16" x14ac:dyDescent="0.35">
      <c r="A38" t="s">
        <v>100</v>
      </c>
      <c r="B38" t="s">
        <v>101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88000</v>
      </c>
      <c r="P38" s="7">
        <v>88000</v>
      </c>
    </row>
    <row r="39" spans="1:16" x14ac:dyDescent="0.35">
      <c r="A39" t="s">
        <v>187</v>
      </c>
      <c r="C39" s="7">
        <v>1926000</v>
      </c>
      <c r="D39" s="7">
        <v>2158000</v>
      </c>
      <c r="E39" s="7">
        <v>2296000</v>
      </c>
      <c r="F39" s="7">
        <v>2522000</v>
      </c>
      <c r="G39" s="7">
        <v>2600000</v>
      </c>
      <c r="H39" s="7">
        <v>2797000</v>
      </c>
      <c r="I39" s="7">
        <v>2966000</v>
      </c>
      <c r="J39" s="7">
        <v>3053000</v>
      </c>
      <c r="K39" s="7">
        <v>3172000</v>
      </c>
      <c r="L39" s="7">
        <v>3335000</v>
      </c>
      <c r="M39" s="7">
        <v>3428000</v>
      </c>
      <c r="N39" s="7">
        <v>3558000</v>
      </c>
      <c r="O39" s="7">
        <v>3692000</v>
      </c>
      <c r="P39" s="7">
        <v>37503000</v>
      </c>
    </row>
    <row r="41" spans="1:16" x14ac:dyDescent="0.35">
      <c r="A41" s="14" t="s">
        <v>201</v>
      </c>
      <c r="B41" s="12"/>
      <c r="C41" s="16"/>
      <c r="D41" s="16" cm="1">
        <f t="array" ref="D41">SUM(IF((C$3:C$38=0)*(D$3:D$38&gt;0), D$3:D$38, 0))</f>
        <v>177000</v>
      </c>
      <c r="E41" s="16" cm="1">
        <f t="array" ref="E41">SUM(IF((D$3:D$38=0)*(E$3:E$38&gt;0), E$3:E$38, 0))</f>
        <v>66000</v>
      </c>
      <c r="F41" s="16" cm="1">
        <f t="array" ref="F41">SUM(IF((E$3:E$38=0)*(F$3:F$38&gt;0), F$3:F$38, 0))</f>
        <v>156000</v>
      </c>
      <c r="G41" s="16" cm="1">
        <f t="array" ref="G41">SUM(IF((F$3:F$38=0)*(G$3:G$38&gt;0), G$3:G$38, 0))</f>
        <v>105000</v>
      </c>
      <c r="H41" s="16" cm="1">
        <f t="array" ref="H41">SUM(IF((G$3:G$38=0)*(H$3:H$38&gt;0), H$3:H$38, 0))</f>
        <v>103000</v>
      </c>
      <c r="I41" s="16" cm="1">
        <f t="array" ref="I41">SUM(IF((H$3:H$38=0)*(I$3:I$38&gt;0), I$3:I$38, 0))</f>
        <v>125000</v>
      </c>
      <c r="J41" s="16" cm="1">
        <f t="array" ref="J41">SUM(IF((I$3:I$38=0)*(J$3:J$38&gt;0), J$3:J$38, 0))</f>
        <v>114000</v>
      </c>
      <c r="K41" s="16" cm="1">
        <f t="array" ref="K41">SUM(IF((J$3:J$38=0)*(K$3:K$38&gt;0), K$3:K$38, 0))</f>
        <v>44000</v>
      </c>
      <c r="L41" s="16" cm="1">
        <f t="array" ref="L41">SUM(IF((K$3:K$38=0)*(L$3:L$38&gt;0), L$3:L$38, 0))</f>
        <v>115000</v>
      </c>
      <c r="M41" s="16" cm="1">
        <f t="array" ref="M41">SUM(IF((L$3:L$38=0)*(M$3:M$38&gt;0), M$3:M$38, 0))</f>
        <v>90000</v>
      </c>
      <c r="N41" s="16" cm="1">
        <f t="array" ref="N41">SUM(IF((M$3:M$38=0)*(N$3:N$38&gt;0), N$3:N$38, 0))</f>
        <v>72000</v>
      </c>
      <c r="O41" s="16" cm="1">
        <f t="array" ref="O41">SUM(IF((N$3:N$38=0)*(O$3:O$38&gt;0), O$3:O$38, 0))</f>
        <v>88000</v>
      </c>
      <c r="P41" s="16" cm="1">
        <f t="array" ref="P41">SUM(IF((O$3:O$38=0)*(P$3:P$38&gt;0), P$3:P$38, 0))</f>
        <v>1614000</v>
      </c>
    </row>
    <row r="42" spans="1:16" x14ac:dyDescent="0.35">
      <c r="A42" s="14" t="s">
        <v>202</v>
      </c>
      <c r="B42" s="12"/>
      <c r="C42" s="12"/>
      <c r="D42" s="16" cm="1">
        <f t="array" ref="D42">SUM(IF((C$3:C$38&gt;0)*(D$3:D$38&gt;C$3:C$38), D$3:D$38 - C$3:C$38, 0))</f>
        <v>55000</v>
      </c>
      <c r="E42" s="16" cm="1">
        <f t="array" ref="E42">SUM(IF((D$3:D$38&gt;0)*(E$3:E$38&gt;D$3:D$38), E$3:E$38 - D$3:D$38, 0))</f>
        <v>72000</v>
      </c>
      <c r="F42" s="16" cm="1">
        <f t="array" ref="F42">SUM(IF((E$3:E$38&gt;0)*(F$3:F$38&gt;E$3:E$38), F$3:F$38 - E$3:E$38, 0))</f>
        <v>70000</v>
      </c>
      <c r="G42" s="16" cm="1">
        <f t="array" ref="G42">SUM(IF((F$3:F$38&gt;0)*(G$3:G$38&gt;F$3:F$38), G$3:G$38 - F$3:F$38, 0))</f>
        <v>60000</v>
      </c>
      <c r="H42" s="16" cm="1">
        <f t="array" ref="H42">SUM(IF((G$3:G$38&gt;0)*(H$3:H$38&gt;G$3:G$38), H$3:H$38 - G$3:G$38, 0))</f>
        <v>94000</v>
      </c>
      <c r="I42" s="16" cm="1">
        <f t="array" ref="I42">SUM(IF((H$3:H$38&gt;0)*(I$3:I$38&gt;H$3:H$38), I$3:I$38 - H$3:H$38, 0))</f>
        <v>60000</v>
      </c>
      <c r="J42" s="16" cm="1">
        <f t="array" ref="J42">SUM(IF((I$3:I$38&gt;0)*(J$3:J$38&gt;I$3:I$38), J$3:J$38 - I$3:I$38, 0))</f>
        <v>50000</v>
      </c>
      <c r="K42" s="16" cm="1">
        <f t="array" ref="K42">SUM(IF((J$3:J$38&gt;0)*(K$3:K$38&gt;J$3:J$38), K$3:K$38 - J$3:J$38, 0))</f>
        <v>75000</v>
      </c>
      <c r="L42" s="16" cm="1">
        <f t="array" ref="L42">SUM(IF((K$3:K$38&gt;0)*(L$3:L$38&gt;K$3:K$38), L$3:L$38 - K$3:K$38, 0))</f>
        <v>58000</v>
      </c>
      <c r="M42" s="16" cm="1">
        <f t="array" ref="M42">SUM(IF((L$3:L$38&gt;0)*(M$3:M$38&gt;L$3:L$38), M$3:M$38 - L$3:L$38, 0))</f>
        <v>76000</v>
      </c>
      <c r="N42" s="16" cm="1">
        <f t="array" ref="N42">SUM(IF((M$3:M$38&gt;0)*(N$3:N$38&gt;M$3:M$38), N$3:N$38 - M$3:M$38, 0))</f>
        <v>75000</v>
      </c>
      <c r="O42" s="16" cm="1">
        <f t="array" ref="O42">SUM(IF((N$3:N$38&gt;0)*(O$3:O$38&gt;N$3:N$38), O$3:O$38 - N$3:N$38, 0))</f>
        <v>46000</v>
      </c>
      <c r="P42" s="16" cm="1">
        <f t="array" ref="P42">SUM(IF((O$3:O$38&gt;0)*(P$3:P$38&gt;O$3:O$38), P$3:P$38 - O$3:O$38, 0))</f>
        <v>32197000</v>
      </c>
    </row>
    <row r="43" spans="1:16" x14ac:dyDescent="0.35">
      <c r="A43" s="14" t="s">
        <v>203</v>
      </c>
      <c r="B43" s="12"/>
      <c r="C43" s="12"/>
      <c r="D43" s="12" cm="1">
        <f t="array" ref="D43">SUM(IF((C$3:C$38&gt;0)*(D$3:D$38&lt;C$3:C$38)*(D$3:D$38&gt;0), C$3:C$38 - D$3:D$38, 0))</f>
        <v>0</v>
      </c>
      <c r="E43" s="12" cm="1">
        <f t="array" ref="E43">SUM(IF((D$3:D$38&gt;0)*(E$3:E$38&lt;D$3:D$38)*(E$3:E$38&gt;0), D$3:D$38 - E$3:E$38, 0))</f>
        <v>0</v>
      </c>
      <c r="F43" s="12" cm="1">
        <f t="array" ref="F43">SUM(IF((E$3:E$38&gt;0)*(F$3:F$38&lt;E$3:E$38)*(F$3:F$38&gt;0), E$3:E$38 - F$3:F$38, 0))</f>
        <v>0</v>
      </c>
      <c r="G43" s="12" cm="1">
        <f t="array" ref="G43">SUM(IF((F$3:F$38&gt;0)*(G$3:G$38&lt;F$3:F$38)*(G$3:G$38&gt;0), F$3:F$38 - G$3:G$38, 0))</f>
        <v>0</v>
      </c>
      <c r="H43" s="12" cm="1">
        <f t="array" ref="H43">SUM(IF((G$3:G$38&gt;0)*(H$3:H$38&lt;G$3:G$38)*(H$3:H$38&gt;0), G$3:G$38 - H$3:H$38, 0))</f>
        <v>0</v>
      </c>
      <c r="I43" s="12" cm="1">
        <f t="array" ref="I43">SUM(IF((H$3:H$38&gt;0)*(I$3:I$38&lt;H$3:H$38)*(I$3:I$38&gt;0), H$3:H$38 - I$3:I$38, 0))</f>
        <v>16000</v>
      </c>
      <c r="J43" s="12" cm="1">
        <f t="array" ref="J43">SUM(IF((I$3:I$38&gt;0)*(J$3:J$38&lt;I$3:I$38)*(J$3:J$38&gt;0), I$3:I$38 - J$3:J$38, 0))</f>
        <v>0</v>
      </c>
      <c r="K43" s="12" cm="1">
        <f t="array" ref="K43">SUM(IF((J$3:J$38&gt;0)*(K$3:K$38&lt;J$3:J$38)*(K$3:K$38&gt;0), J$3:J$38 - K$3:K$38, 0))</f>
        <v>0</v>
      </c>
      <c r="L43" s="12" cm="1">
        <f t="array" ref="L43">SUM(IF((K$3:K$38&gt;0)*(L$3:L$38&lt;K$3:K$38)*(L$3:L$38&gt;0), K$3:K$38 - L$3:L$38, 0))</f>
        <v>10000</v>
      </c>
      <c r="M43" s="12" cm="1">
        <f t="array" ref="M43">SUM(IF((L$3:L$38&gt;0)*(M$3:M$38&lt;L$3:L$38)*(M$3:M$38&gt;0), L$3:L$38 - M$3:M$38, 0))</f>
        <v>0</v>
      </c>
      <c r="N43" s="12" cm="1">
        <f t="array" ref="N43">SUM(IF((M$3:M$38&gt;0)*(N$3:N$38&lt;M$3:M$38)*(N$3:N$38&gt;0), M$3:M$38 - N$3:N$38, 0))</f>
        <v>17000</v>
      </c>
      <c r="O43" s="12" cm="1">
        <f t="array" ref="O43">SUM(IF((N$3:N$38&gt;0)*(O$3:O$38&lt;N$3:N$38)*(O$3:O$38&gt;0), N$3:N$38 - O$3:O$38, 0))</f>
        <v>0</v>
      </c>
      <c r="P43" s="12" cm="1">
        <f t="array" ref="P43">SUM(IF((O$3:O$38&gt;0)*(P$3:P$38&lt;O$3:O$38)*(P$3:P$38&gt;0), O$3:O$38 - P$3:P$38, 0))</f>
        <v>0</v>
      </c>
    </row>
    <row r="44" spans="1:16" x14ac:dyDescent="0.35">
      <c r="A44" s="14" t="s">
        <v>204</v>
      </c>
      <c r="B44" s="12"/>
      <c r="C44" s="12"/>
      <c r="D44" s="12" cm="1">
        <f t="array" ref="D44">SUM(IF((C$3:C$38&gt;0)*(D$3:D$38=0), C$3:C$38, 0))</f>
        <v>0</v>
      </c>
      <c r="E44" s="12" cm="1">
        <f t="array" ref="E44">SUM(IF((D$3:D$38&gt;0)*(E$3:E$38=0), D$3:D$38, 0))</f>
        <v>0</v>
      </c>
      <c r="F44" s="12" cm="1">
        <f t="array" ref="F44">SUM(IF((E$3:E$38&gt;0)*(F$3:F$38=0), E$3:E$38, 0))</f>
        <v>0</v>
      </c>
      <c r="G44" s="12" cm="1">
        <f t="array" ref="G44">SUM(IF((F$3:F$38&gt;0)*(G$3:G$38=0), F$3:F$38, 0))</f>
        <v>87000</v>
      </c>
      <c r="H44" s="12" cm="1">
        <f t="array" ref="H44">SUM(IF((G$3:G$38&gt;0)*(H$3:H$38=0), G$3:G$38, 0))</f>
        <v>0</v>
      </c>
      <c r="I44" s="12" cm="1">
        <f t="array" ref="I44">SUM(IF((H$3:H$38&gt;0)*(I$3:I$38=0), H$3:H$38, 0))</f>
        <v>0</v>
      </c>
      <c r="J44" s="12" cm="1">
        <f t="array" ref="J44">SUM(IF((I$3:I$38&gt;0)*(J$3:J$38=0), I$3:I$38, 0))</f>
        <v>77000</v>
      </c>
      <c r="K44" s="12" cm="1">
        <f t="array" ref="K44">SUM(IF((J$3:J$38&gt;0)*(K$3:K$38=0), J$3:J$38, 0))</f>
        <v>0</v>
      </c>
      <c r="L44" s="12" cm="1">
        <f t="array" ref="L44">SUM(IF((K$3:K$38&gt;0)*(L$3:L$38=0), K$3:K$38, 0))</f>
        <v>0</v>
      </c>
      <c r="M44" s="12" cm="1">
        <f t="array" ref="M44">SUM(IF((L$3:L$38&gt;0)*(M$3:M$38=0), L$3:L$38, 0))</f>
        <v>73000</v>
      </c>
      <c r="N44" s="12" cm="1">
        <f t="array" ref="N44">SUM(IF((M$3:M$38&gt;0)*(N$3:N$38=0), M$3:M$38, 0))</f>
        <v>0</v>
      </c>
      <c r="O44" s="12" cm="1">
        <f t="array" ref="O44">SUM(IF((N$3:N$38&gt;0)*(O$3:O$38=0), N$3:N$38, 0))</f>
        <v>0</v>
      </c>
      <c r="P44" s="12" cm="1">
        <f t="array" ref="P44">SUM(IF((O$3:O$38&gt;0)*(P$3:P$38=0), O$3:O$38, 0))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6F1B-2B75-405F-8B1F-3FFCDA6F405D}">
  <dimension ref="A1:U26"/>
  <sheetViews>
    <sheetView showGridLines="0" workbookViewId="0">
      <selection activeCell="B1" sqref="B1:N1"/>
    </sheetView>
  </sheetViews>
  <sheetFormatPr baseColWidth="10" defaultRowHeight="14.5" x14ac:dyDescent="0.35"/>
  <cols>
    <col min="1" max="1" width="24" bestFit="1" customWidth="1"/>
    <col min="3" max="3" width="15.6328125" bestFit="1" customWidth="1"/>
    <col min="14" max="14" width="11.81640625" bestFit="1" customWidth="1"/>
  </cols>
  <sheetData>
    <row r="1" spans="1:21" ht="15.5" x14ac:dyDescent="0.35">
      <c r="A1" s="14" t="s">
        <v>158</v>
      </c>
      <c r="B1" s="18" t="str" cm="1">
        <f t="array" ref="B1">INDEX(Clean_Funnel_Data!$A$2:$A$13, COLUMN()-1)</f>
        <v>Jan-25</v>
      </c>
      <c r="C1" s="18" t="str" cm="1">
        <f t="array" ref="C1">INDEX(Clean_Funnel_Data!$A$2:$A$13, COLUMN()-1)</f>
        <v>Feb-25</v>
      </c>
      <c r="D1" s="18" t="str" cm="1">
        <f t="array" ref="D1">INDEX(Clean_Funnel_Data!$A$2:$A$13, COLUMN()-1)</f>
        <v>Mar-25</v>
      </c>
      <c r="E1" s="18" t="str" cm="1">
        <f t="array" ref="E1">INDEX(Clean_Funnel_Data!$A$2:$A$13, COLUMN()-1)</f>
        <v>Apr-25</v>
      </c>
      <c r="F1" s="18" t="str" cm="1">
        <f t="array" ref="F1">INDEX(Clean_Funnel_Data!$A$2:$A$13, COLUMN()-1)</f>
        <v>May-25</v>
      </c>
      <c r="G1" s="18" t="str" cm="1">
        <f t="array" ref="G1">INDEX(Clean_Funnel_Data!$A$2:$A$13, COLUMN()-1)</f>
        <v>Jun-25</v>
      </c>
      <c r="H1" s="18" t="str" cm="1">
        <f t="array" ref="H1">INDEX(Clean_Funnel_Data!$A$2:$A$13, COLUMN()-1)</f>
        <v>Jul-25</v>
      </c>
      <c r="I1" s="18" t="str" cm="1">
        <f t="array" ref="I1">INDEX(Clean_Funnel_Data!$A$2:$A$13, COLUMN()-1)</f>
        <v>Aug-25</v>
      </c>
      <c r="J1" s="18" t="str" cm="1">
        <f t="array" ref="J1">INDEX(Clean_Funnel_Data!$A$2:$A$13, COLUMN()-1)</f>
        <v>Sep-25</v>
      </c>
      <c r="K1" s="18" t="str" cm="1">
        <f t="array" ref="K1">INDEX(Clean_Funnel_Data!$A$2:$A$13, COLUMN()-1)</f>
        <v>Oct-25</v>
      </c>
      <c r="L1" s="18" t="str" cm="1">
        <f t="array" ref="L1">INDEX(Clean_Funnel_Data!$A$2:$A$13, COLUMN()-1)</f>
        <v>Nov-25</v>
      </c>
      <c r="M1" s="18" t="str" cm="1">
        <f t="array" ref="M1">INDEX(Clean_Funnel_Data!$A$2:$A$13, COLUMN()-1)</f>
        <v>Dec-25</v>
      </c>
      <c r="N1" s="18" t="s">
        <v>174</v>
      </c>
    </row>
    <row r="2" spans="1:21" x14ac:dyDescent="0.35">
      <c r="A2" s="14" t="s">
        <v>166</v>
      </c>
      <c r="B2" s="17" cm="1">
        <f t="array" ref="B2">INDEX(Clean_Funnel_Data!$C$2:$C$13, COLUMN()-1) / INDEX(Targets!$B$2:$B$13, COLUMN()-1)</f>
        <v>1.075</v>
      </c>
      <c r="C2" s="17" cm="1">
        <f t="array" ref="C2">INDEX(Clean_Funnel_Data!$C$2:$C$13, COLUMN()-1) / INDEX(Targets!$B$2:$B$13, COLUMN()-1)</f>
        <v>1.0476190476190477</v>
      </c>
      <c r="D2" s="17" cm="1">
        <f t="array" ref="D2">INDEX(Clean_Funnel_Data!$C$2:$C$13, COLUMN()-1) / INDEX(Targets!$B$2:$B$13, COLUMN()-1)</f>
        <v>0.93181818181818177</v>
      </c>
      <c r="E2" s="17" cm="1">
        <f t="array" ref="E2">INDEX(Clean_Funnel_Data!$C$2:$C$13, COLUMN()-1) / INDEX(Targets!$B$2:$B$13, COLUMN()-1)</f>
        <v>0.91304347826086951</v>
      </c>
      <c r="F2" s="17" cm="1">
        <f t="array" ref="F2">INDEX(Clean_Funnel_Data!$C$2:$C$13, COLUMN()-1) / INDEX(Targets!$B$2:$B$13, COLUMN()-1)</f>
        <v>0.95833333333333337</v>
      </c>
      <c r="G2" s="17" cm="1">
        <f t="array" ref="G2">INDEX(Clean_Funnel_Data!$C$2:$C$13, COLUMN()-1) / INDEX(Targets!$B$2:$B$13, COLUMN()-1)</f>
        <v>0.9</v>
      </c>
      <c r="H2" s="17" cm="1">
        <f t="array" ref="H2">INDEX(Clean_Funnel_Data!$C$2:$C$13, COLUMN()-1) / INDEX(Targets!$B$2:$B$13, COLUMN()-1)</f>
        <v>0.94230769230769229</v>
      </c>
      <c r="I2" s="17" cm="1">
        <f t="array" ref="I2">INDEX(Clean_Funnel_Data!$C$2:$C$13, COLUMN()-1) / INDEX(Targets!$B$2:$B$13, COLUMN()-1)</f>
        <v>0.92592592592592593</v>
      </c>
      <c r="J2" s="17" cm="1">
        <f t="array" ref="J2">INDEX(Clean_Funnel_Data!$C$2:$C$13, COLUMN()-1) / INDEX(Targets!$B$2:$B$13, COLUMN()-1)</f>
        <v>1.0178571428571428</v>
      </c>
      <c r="K2" s="17" cm="1">
        <f t="array" ref="K2">INDEX(Clean_Funnel_Data!$C$2:$C$13, COLUMN()-1) / INDEX(Targets!$B$2:$B$13, COLUMN()-1)</f>
        <v>1.1206896551724137</v>
      </c>
      <c r="L2" s="17" cm="1">
        <f t="array" ref="L2">INDEX(Clean_Funnel_Data!$C$2:$C$13, COLUMN()-1) / INDEX(Targets!$B$2:$B$13, COLUMN()-1)</f>
        <v>0.98333333333333328</v>
      </c>
      <c r="M2" s="17" cm="1">
        <f t="array" ref="M2">INDEX(Clean_Funnel_Data!$C$2:$C$13, COLUMN()-1) / INDEX(Targets!$B$2:$B$13, COLUMN()-1)</f>
        <v>1.0806451612903225</v>
      </c>
      <c r="N2" s="17">
        <f>SUM(Clean_Funnel_Data!C2:C13) / SUM(Targets!B2:B13)</f>
        <v>0.99346405228758172</v>
      </c>
      <c r="O2" s="4"/>
      <c r="P2" s="4"/>
      <c r="Q2" s="4"/>
      <c r="R2" s="4"/>
      <c r="S2" s="4"/>
      <c r="T2" s="4"/>
      <c r="U2" s="4"/>
    </row>
    <row r="3" spans="1:21" x14ac:dyDescent="0.35">
      <c r="A3" s="14" t="s">
        <v>167</v>
      </c>
      <c r="B3" s="17" cm="1">
        <f t="array" ref="B3">INDEX(Clean_Funnel_Data!$D$2:$D$13, COLUMN()-1) / INDEX(Targets!$C$2:$C$13, COLUMN()-1)</f>
        <v>1.0357142857142858</v>
      </c>
      <c r="C3" s="17" cm="1">
        <f t="array" ref="C3">INDEX(Clean_Funnel_Data!$D$2:$D$13, COLUMN()-1) / INDEX(Targets!$C$2:$C$13, COLUMN()-1)</f>
        <v>1</v>
      </c>
      <c r="D3" s="17" cm="1">
        <f t="array" ref="D3">INDEX(Clean_Funnel_Data!$D$2:$D$13, COLUMN()-1) / INDEX(Targets!$C$2:$C$13, COLUMN()-1)</f>
        <v>1.032258064516129</v>
      </c>
      <c r="E3" s="17" cm="1">
        <f t="array" ref="E3">INDEX(Clean_Funnel_Data!$D$2:$D$13, COLUMN()-1) / INDEX(Targets!$C$2:$C$13, COLUMN()-1)</f>
        <v>1.125</v>
      </c>
      <c r="F3" s="17" cm="1">
        <f t="array" ref="F3">INDEX(Clean_Funnel_Data!$D$2:$D$13, COLUMN()-1) / INDEX(Targets!$C$2:$C$13, COLUMN()-1)</f>
        <v>1.1176470588235294</v>
      </c>
      <c r="G3" s="17" cm="1">
        <f t="array" ref="G3">INDEX(Clean_Funnel_Data!$D$2:$D$13, COLUMN()-1) / INDEX(Targets!$C$2:$C$13, COLUMN()-1)</f>
        <v>1.0571428571428572</v>
      </c>
      <c r="H3" s="17" cm="1">
        <f t="array" ref="H3">INDEX(Clean_Funnel_Data!$D$2:$D$13, COLUMN()-1) / INDEX(Targets!$C$2:$C$13, COLUMN()-1)</f>
        <v>0.88888888888888884</v>
      </c>
      <c r="I3" s="17" cm="1">
        <f t="array" ref="I3">INDEX(Clean_Funnel_Data!$D$2:$D$13, COLUMN()-1) / INDEX(Targets!$C$2:$C$13, COLUMN()-1)</f>
        <v>1.131578947368421</v>
      </c>
      <c r="J3" s="17" cm="1">
        <f t="array" ref="J3">INDEX(Clean_Funnel_Data!$D$2:$D$13, COLUMN()-1) / INDEX(Targets!$C$2:$C$13, COLUMN()-1)</f>
        <v>1.0512820512820513</v>
      </c>
      <c r="K3" s="17" cm="1">
        <f t="array" ref="K3">INDEX(Clean_Funnel_Data!$D$2:$D$13, COLUMN()-1) / INDEX(Targets!$C$2:$C$13, COLUMN()-1)</f>
        <v>0.95121951219512191</v>
      </c>
      <c r="L3" s="17" cm="1">
        <f t="array" ref="L3">INDEX(Clean_Funnel_Data!$D$2:$D$13, COLUMN()-1) / INDEX(Targets!$C$2:$C$13, COLUMN()-1)</f>
        <v>0.90476190476190477</v>
      </c>
      <c r="M3" s="17" cm="1">
        <f t="array" ref="M3">INDEX(Clean_Funnel_Data!$D$2:$D$13, COLUMN()-1) / INDEX(Targets!$C$2:$C$13, COLUMN()-1)</f>
        <v>1.1162790697674418</v>
      </c>
      <c r="N3" s="17">
        <f>SUM(Clean_Funnel_Data!D2:D13) / SUM(Targets!C2:C13)</f>
        <v>1.0327102803738317</v>
      </c>
    </row>
    <row r="4" spans="1:21" x14ac:dyDescent="0.35">
      <c r="A4" s="14" t="s">
        <v>168</v>
      </c>
      <c r="B4" s="17" cm="1">
        <f t="array" ref="B4">INDEX(Clean_Funnel_Data!$F$2:$F$13, COLUMN()-1) / INDEX(Targets!$D$2:$D$13, COLUMN()-1)</f>
        <v>1.1176470588235294</v>
      </c>
      <c r="C4" s="17" cm="1">
        <f t="array" ref="C4">INDEX(Clean_Funnel_Data!$F$2:$F$13, COLUMN()-1) / INDEX(Targets!$D$2:$D$13, COLUMN()-1)</f>
        <v>0.94444444444444442</v>
      </c>
      <c r="D4" s="17" cm="1">
        <f t="array" ref="D4">INDEX(Clean_Funnel_Data!$F$2:$F$13, COLUMN()-1) / INDEX(Targets!$D$2:$D$13, COLUMN()-1)</f>
        <v>1.1578947368421053</v>
      </c>
      <c r="E4" s="17" cm="1">
        <f t="array" ref="E4">INDEX(Clean_Funnel_Data!$F$2:$F$13, COLUMN()-1) / INDEX(Targets!$D$2:$D$13, COLUMN()-1)</f>
        <v>1.05</v>
      </c>
      <c r="F4" s="17" cm="1">
        <f t="array" ref="F4">INDEX(Clean_Funnel_Data!$F$2:$F$13, COLUMN()-1) / INDEX(Targets!$D$2:$D$13, COLUMN()-1)</f>
        <v>0.8571428571428571</v>
      </c>
      <c r="G4" s="17" cm="1">
        <f t="array" ref="G4">INDEX(Clean_Funnel_Data!$F$2:$F$13, COLUMN()-1) / INDEX(Targets!$D$2:$D$13, COLUMN()-1)</f>
        <v>0.95454545454545459</v>
      </c>
      <c r="H4" s="17" cm="1">
        <f t="array" ref="H4">INDEX(Clean_Funnel_Data!$F$2:$F$13, COLUMN()-1) / INDEX(Targets!$D$2:$D$13, COLUMN()-1)</f>
        <v>0.90909090909090906</v>
      </c>
      <c r="I4" s="17" cm="1">
        <f t="array" ref="I4">INDEX(Clean_Funnel_Data!$F$2:$F$13, COLUMN()-1) / INDEX(Targets!$D$2:$D$13, COLUMN()-1)</f>
        <v>1</v>
      </c>
      <c r="J4" s="17" cm="1">
        <f t="array" ref="J4">INDEX(Clean_Funnel_Data!$F$2:$F$13, COLUMN()-1) / INDEX(Targets!$D$2:$D$13, COLUMN()-1)</f>
        <v>1.125</v>
      </c>
      <c r="K4" s="17" cm="1">
        <f t="array" ref="K4">INDEX(Clean_Funnel_Data!$F$2:$F$13, COLUMN()-1) / INDEX(Targets!$D$2:$D$13, COLUMN()-1)</f>
        <v>1.04</v>
      </c>
      <c r="L4" s="17" cm="1">
        <f t="array" ref="L4">INDEX(Clean_Funnel_Data!$F$2:$F$13, COLUMN()-1) / INDEX(Targets!$D$2:$D$13, COLUMN()-1)</f>
        <v>0.96153846153846156</v>
      </c>
      <c r="M4" s="17" cm="1">
        <f t="array" ref="M4">INDEX(Clean_Funnel_Data!$F$2:$F$13, COLUMN()-1) / INDEX(Targets!$D$2:$D$13, COLUMN()-1)</f>
        <v>0.88888888888888884</v>
      </c>
      <c r="N4" s="17">
        <f>SUM(Clean_Funnel_Data!F2:F13) / SUM(Targets!D2:D13)</f>
        <v>0.99622641509433962</v>
      </c>
    </row>
    <row r="5" spans="1:21" x14ac:dyDescent="0.35">
      <c r="A5" s="14" t="s">
        <v>169</v>
      </c>
      <c r="B5" s="17" cm="1">
        <f t="array" ref="B5">INDEX(Clean_Funnel_Data!$G$2:$G$13, COLUMN()-1) / INDEX(Targets!$E$2:$E$13, COLUMN()-1)</f>
        <v>0.8</v>
      </c>
      <c r="C5" s="17" cm="1">
        <f t="array" ref="C5">INDEX(Clean_Funnel_Data!$G$2:$G$13, COLUMN()-1) / INDEX(Targets!$E$2:$E$13, COLUMN()-1)</f>
        <v>1</v>
      </c>
      <c r="D5" s="17" cm="1">
        <f t="array" ref="D5">INDEX(Clean_Funnel_Data!$G$2:$G$13, COLUMN()-1) / INDEX(Targets!$E$2:$E$13, COLUMN()-1)</f>
        <v>1.2</v>
      </c>
      <c r="E5" s="17" cm="1">
        <f t="array" ref="E5">INDEX(Clean_Funnel_Data!$G$2:$G$13, COLUMN()-1) / INDEX(Targets!$E$2:$E$13, COLUMN()-1)</f>
        <v>0.83333333333333337</v>
      </c>
      <c r="F5" s="17" cm="1">
        <f t="array" ref="F5">INDEX(Clean_Funnel_Data!$G$2:$G$13, COLUMN()-1) / INDEX(Targets!$E$2:$E$13, COLUMN()-1)</f>
        <v>0.83333333333333337</v>
      </c>
      <c r="G5" s="17" cm="1">
        <f t="array" ref="G5">INDEX(Clean_Funnel_Data!$G$2:$G$13, COLUMN()-1) / INDEX(Targets!$E$2:$E$13, COLUMN()-1)</f>
        <v>1</v>
      </c>
      <c r="H5" s="17" cm="1">
        <f t="array" ref="H5">INDEX(Clean_Funnel_Data!$G$2:$G$13, COLUMN()-1) / INDEX(Targets!$E$2:$E$13, COLUMN()-1)</f>
        <v>1.1666666666666667</v>
      </c>
      <c r="I5" s="17" cm="1">
        <f t="array" ref="I5">INDEX(Clean_Funnel_Data!$G$2:$G$13, COLUMN()-1) / INDEX(Targets!$E$2:$E$13, COLUMN()-1)</f>
        <v>0.8571428571428571</v>
      </c>
      <c r="J5" s="17" cm="1">
        <f t="array" ref="J5">INDEX(Clean_Funnel_Data!$G$2:$G$13, COLUMN()-1) / INDEX(Targets!$E$2:$E$13, COLUMN()-1)</f>
        <v>1</v>
      </c>
      <c r="K5" s="17" cm="1">
        <f t="array" ref="K5">INDEX(Clean_Funnel_Data!$G$2:$G$13, COLUMN()-1) / INDEX(Targets!$E$2:$E$13, COLUMN()-1)</f>
        <v>1</v>
      </c>
      <c r="L5" s="17" cm="1">
        <f t="array" ref="L5">INDEX(Clean_Funnel_Data!$G$2:$G$13, COLUMN()-1) / INDEX(Targets!$E$2:$E$13, COLUMN()-1)</f>
        <v>1.1428571428571428</v>
      </c>
      <c r="M5" s="17" cm="1">
        <f t="array" ref="M5">INDEX(Clean_Funnel_Data!$G$2:$G$13, COLUMN()-1) / INDEX(Targets!$E$2:$E$13, COLUMN()-1)</f>
        <v>1</v>
      </c>
      <c r="N5" s="17">
        <f>SUM(Clean_Funnel_Data!G2:G13) / SUM(Targets!E2:E13)</f>
        <v>0.98666666666666669</v>
      </c>
    </row>
    <row r="6" spans="1:21" x14ac:dyDescent="0.35">
      <c r="A6" s="14" t="s">
        <v>170</v>
      </c>
      <c r="B6" s="17" cm="1">
        <f t="array" ref="B6">INDEX(Clean_Funnel_Data!$H$2:$H$13, COLUMN()-1) / INDEX(Targets!$F$2:$F$13, COLUMN()-1)</f>
        <v>0.91428571428571426</v>
      </c>
      <c r="C6" s="17" cm="1">
        <f t="array" ref="C6">INDEX(Clean_Funnel_Data!$H$2:$H$13, COLUMN()-1) / INDEX(Targets!$F$2:$F$13, COLUMN()-1)</f>
        <v>0.93714285714285717</v>
      </c>
      <c r="D6" s="17" cm="1">
        <f t="array" ref="D6">INDEX(Clean_Funnel_Data!$H$2:$H$13, COLUMN()-1) / INDEX(Targets!$F$2:$F$13, COLUMN()-1)</f>
        <v>1.177142857142857</v>
      </c>
      <c r="E6" s="17" cm="1">
        <f t="array" ref="E6">INDEX(Clean_Funnel_Data!$H$2:$H$13, COLUMN()-1) / INDEX(Targets!$F$2:$F$13, COLUMN()-1)</f>
        <v>0.7142857142857143</v>
      </c>
      <c r="F6" s="17" cm="1">
        <f t="array" ref="F6">INDEX(Clean_Funnel_Data!$H$2:$H$13, COLUMN()-1) / INDEX(Targets!$F$2:$F$13, COLUMN()-1)</f>
        <v>1</v>
      </c>
      <c r="G6" s="17" cm="1">
        <f t="array" ref="G6">INDEX(Clean_Funnel_Data!$H$2:$H$13, COLUMN()-1) / INDEX(Targets!$F$2:$F$13, COLUMN()-1)</f>
        <v>0.90476190476190477</v>
      </c>
      <c r="H6" s="17" cm="1">
        <f t="array" ref="H6">INDEX(Clean_Funnel_Data!$H$2:$H$13, COLUMN()-1) / INDEX(Targets!$F$2:$F$13, COLUMN()-1)</f>
        <v>1.2857142857142858</v>
      </c>
      <c r="I6" s="17" cm="1">
        <f t="array" ref="I6">INDEX(Clean_Funnel_Data!$H$2:$H$13, COLUMN()-1) / INDEX(Targets!$F$2:$F$13, COLUMN()-1)</f>
        <v>0.96326530612244898</v>
      </c>
      <c r="J6" s="17" cm="1">
        <f t="array" ref="J6">INDEX(Clean_Funnel_Data!$H$2:$H$13, COLUMN()-1) / INDEX(Targets!$F$2:$F$13, COLUMN()-1)</f>
        <v>1.1387755102040817</v>
      </c>
      <c r="K6" s="17" cm="1">
        <f t="array" ref="K6">INDEX(Clean_Funnel_Data!$H$2:$H$13, COLUMN()-1) / INDEX(Targets!$F$2:$F$13, COLUMN()-1)</f>
        <v>0.93877551020408168</v>
      </c>
      <c r="L6" s="17" cm="1">
        <f t="array" ref="L6">INDEX(Clean_Funnel_Data!$H$2:$H$13, COLUMN()-1) / INDEX(Targets!$F$2:$F$13, COLUMN()-1)</f>
        <v>1.0938775510204082</v>
      </c>
      <c r="M6" s="17" cm="1">
        <f t="array" ref="M6">INDEX(Clean_Funnel_Data!$H$2:$H$13, COLUMN()-1) / INDEX(Targets!$F$2:$F$13, COLUMN()-1)</f>
        <v>1.0785714285714285</v>
      </c>
      <c r="N6" s="17">
        <f>SUM(Clean_Funnel_Data!H2:H13) / SUM(Targets!F2:F13)</f>
        <v>1.0152380952380953</v>
      </c>
    </row>
    <row r="7" spans="1:21" x14ac:dyDescent="0.35">
      <c r="A7" s="14" t="s">
        <v>171</v>
      </c>
      <c r="B7" s="17" cm="1">
        <f t="array" ref="B7">INDEX(Clean_Funnel_Data!$D$2:$D$13, COLUMN()-1) / INDEX(Clean_Funnel_Data!$C$2:$C$13, COLUMN()-1)</f>
        <v>0.33720930232558138</v>
      </c>
      <c r="C7" s="17" cm="1">
        <f t="array" ref="C7">INDEX(Clean_Funnel_Data!$D$2:$D$13, COLUMN()-1) / INDEX(Clean_Funnel_Data!$C$2:$C$13, COLUMN()-1)</f>
        <v>0.32954545454545453</v>
      </c>
      <c r="D7" s="17" cm="1">
        <f t="array" ref="D7">INDEX(Clean_Funnel_Data!$D$2:$D$13, COLUMN()-1) / INDEX(Clean_Funnel_Data!$C$2:$C$13, COLUMN()-1)</f>
        <v>0.3902439024390244</v>
      </c>
      <c r="E7" s="17" cm="1">
        <f t="array" ref="E7">INDEX(Clean_Funnel_Data!$D$2:$D$13, COLUMN()-1) / INDEX(Clean_Funnel_Data!$C$2:$C$13, COLUMN()-1)</f>
        <v>0.42857142857142855</v>
      </c>
      <c r="F7" s="17" cm="1">
        <f t="array" ref="F7">INDEX(Clean_Funnel_Data!$D$2:$D$13, COLUMN()-1) / INDEX(Clean_Funnel_Data!$C$2:$C$13, COLUMN()-1)</f>
        <v>0.41304347826086957</v>
      </c>
      <c r="G7" s="17" cm="1">
        <f t="array" ref="G7">INDEX(Clean_Funnel_Data!$D$2:$D$13, COLUMN()-1) / INDEX(Clean_Funnel_Data!$C$2:$C$13, COLUMN()-1)</f>
        <v>0.41111111111111109</v>
      </c>
      <c r="H7" s="17" cm="1">
        <f t="array" ref="H7">INDEX(Clean_Funnel_Data!$D$2:$D$13, COLUMN()-1) / INDEX(Clean_Funnel_Data!$C$2:$C$13, COLUMN()-1)</f>
        <v>0.32653061224489793</v>
      </c>
      <c r="I7" s="17" cm="1">
        <f t="array" ref="I7">INDEX(Clean_Funnel_Data!$D$2:$D$13, COLUMN()-1) / INDEX(Clean_Funnel_Data!$C$2:$C$13, COLUMN()-1)</f>
        <v>0.43</v>
      </c>
      <c r="J7" s="17" cm="1">
        <f t="array" ref="J7">INDEX(Clean_Funnel_Data!$D$2:$D$13, COLUMN()-1) / INDEX(Clean_Funnel_Data!$C$2:$C$13, COLUMN()-1)</f>
        <v>0.35964912280701755</v>
      </c>
      <c r="K7" s="17" cm="1">
        <f t="array" ref="K7">INDEX(Clean_Funnel_Data!$D$2:$D$13, COLUMN()-1) / INDEX(Clean_Funnel_Data!$C$2:$C$13, COLUMN()-1)</f>
        <v>0.3</v>
      </c>
      <c r="L7" s="17" cm="1">
        <f t="array" ref="L7">INDEX(Clean_Funnel_Data!$D$2:$D$13, COLUMN()-1) / INDEX(Clean_Funnel_Data!$C$2:$C$13, COLUMN()-1)</f>
        <v>0.32203389830508472</v>
      </c>
      <c r="M7" s="17" cm="1">
        <f t="array" ref="M7">INDEX(Clean_Funnel_Data!$D$2:$D$13, COLUMN()-1) / INDEX(Clean_Funnel_Data!$C$2:$C$13, COLUMN()-1)</f>
        <v>0.35820895522388058</v>
      </c>
      <c r="N7" s="17">
        <f>SUM(Clean_Funnel_Data!D2:D13) / SUM(Clean_Funnel_Data!C2:C13)</f>
        <v>0.36348684210526316</v>
      </c>
    </row>
    <row r="8" spans="1:21" x14ac:dyDescent="0.35">
      <c r="A8" s="14" t="s">
        <v>172</v>
      </c>
      <c r="B8" s="17" cm="1">
        <f t="array" ref="B8">INDEX(Clean_Funnel_Data!$F$2:$F$13, COLUMN()-1) / INDEX(Clean_Funnel_Data!$D$2:$D$13, COLUMN()-1)</f>
        <v>0.65517241379310343</v>
      </c>
      <c r="C8" s="17" cm="1">
        <f t="array" ref="C8">INDEX(Clean_Funnel_Data!$F$2:$F$13, COLUMN()-1) / INDEX(Clean_Funnel_Data!$D$2:$D$13, COLUMN()-1)</f>
        <v>0.58620689655172409</v>
      </c>
      <c r="D8" s="17" cm="1">
        <f t="array" ref="D8">INDEX(Clean_Funnel_Data!$F$2:$F$13, COLUMN()-1) / INDEX(Clean_Funnel_Data!$D$2:$D$13, COLUMN()-1)</f>
        <v>0.6875</v>
      </c>
      <c r="E8" s="17" cm="1">
        <f t="array" ref="E8">INDEX(Clean_Funnel_Data!$F$2:$F$13, COLUMN()-1) / INDEX(Clean_Funnel_Data!$D$2:$D$13, COLUMN()-1)</f>
        <v>0.58333333333333337</v>
      </c>
      <c r="F8" s="17" cm="1">
        <f t="array" ref="F8">INDEX(Clean_Funnel_Data!$F$2:$F$13, COLUMN()-1) / INDEX(Clean_Funnel_Data!$D$2:$D$13, COLUMN()-1)</f>
        <v>0.47368421052631576</v>
      </c>
      <c r="G8" s="17" cm="1">
        <f t="array" ref="G8">INDEX(Clean_Funnel_Data!$F$2:$F$13, COLUMN()-1) / INDEX(Clean_Funnel_Data!$D$2:$D$13, COLUMN()-1)</f>
        <v>0.56756756756756754</v>
      </c>
      <c r="H8" s="17" cm="1">
        <f t="array" ref="H8">INDEX(Clean_Funnel_Data!$F$2:$F$13, COLUMN()-1) / INDEX(Clean_Funnel_Data!$D$2:$D$13, COLUMN()-1)</f>
        <v>0.625</v>
      </c>
      <c r="I8" s="17" cm="1">
        <f t="array" ref="I8">INDEX(Clean_Funnel_Data!$F$2:$F$13, COLUMN()-1) / INDEX(Clean_Funnel_Data!$D$2:$D$13, COLUMN()-1)</f>
        <v>0.55813953488372092</v>
      </c>
      <c r="J8" s="17" cm="1">
        <f t="array" ref="J8">INDEX(Clean_Funnel_Data!$F$2:$F$13, COLUMN()-1) / INDEX(Clean_Funnel_Data!$D$2:$D$13, COLUMN()-1)</f>
        <v>0.65853658536585369</v>
      </c>
      <c r="K8" s="17" cm="1">
        <f t="array" ref="K8">INDEX(Clean_Funnel_Data!$F$2:$F$13, COLUMN()-1) / INDEX(Clean_Funnel_Data!$D$2:$D$13, COLUMN()-1)</f>
        <v>0.66666666666666663</v>
      </c>
      <c r="L8" s="17" cm="1">
        <f t="array" ref="L8">INDEX(Clean_Funnel_Data!$F$2:$F$13, COLUMN()-1) / INDEX(Clean_Funnel_Data!$D$2:$D$13, COLUMN()-1)</f>
        <v>0.65789473684210531</v>
      </c>
      <c r="M8" s="17" cm="1">
        <f t="array" ref="M8">INDEX(Clean_Funnel_Data!$F$2:$F$13, COLUMN()-1) / INDEX(Clean_Funnel_Data!$D$2:$D$13, COLUMN()-1)</f>
        <v>0.5</v>
      </c>
      <c r="N8" s="17">
        <f>SUM(Clean_Funnel_Data!F2:F13) / SUM(Clean_Funnel_Data!D2:D13)</f>
        <v>0.59728506787330315</v>
      </c>
    </row>
    <row r="9" spans="1:21" x14ac:dyDescent="0.35">
      <c r="A9" s="14" t="s">
        <v>173</v>
      </c>
      <c r="B9" s="17" cm="1">
        <f t="array" ref="B9">INDEX(Clean_Funnel_Data!$G$2:$G$13, COLUMN()-1) / INDEX(Clean_Funnel_Data!$F$2:$F$13, COLUMN()-1)</f>
        <v>0.21052631578947367</v>
      </c>
      <c r="C9" s="17" cm="1">
        <f t="array" ref="C9">INDEX(Clean_Funnel_Data!$G$2:$G$13, COLUMN()-1) / INDEX(Clean_Funnel_Data!$F$2:$F$13, COLUMN()-1)</f>
        <v>0.29411764705882354</v>
      </c>
      <c r="D9" s="17" cm="1">
        <f t="array" ref="D9">INDEX(Clean_Funnel_Data!$G$2:$G$13, COLUMN()-1) / INDEX(Clean_Funnel_Data!$F$2:$F$13, COLUMN()-1)</f>
        <v>0.27272727272727271</v>
      </c>
      <c r="E9" s="17" cm="1">
        <f t="array" ref="E9">INDEX(Clean_Funnel_Data!$G$2:$G$13, COLUMN()-1) / INDEX(Clean_Funnel_Data!$F$2:$F$13, COLUMN()-1)</f>
        <v>0.23809523809523808</v>
      </c>
      <c r="F9" s="17" cm="1">
        <f t="array" ref="F9">INDEX(Clean_Funnel_Data!$G$2:$G$13, COLUMN()-1) / INDEX(Clean_Funnel_Data!$F$2:$F$13, COLUMN()-1)</f>
        <v>0.27777777777777779</v>
      </c>
      <c r="G9" s="17" cm="1">
        <f t="array" ref="G9">INDEX(Clean_Funnel_Data!$G$2:$G$13, COLUMN()-1) / INDEX(Clean_Funnel_Data!$F$2:$F$13, COLUMN()-1)</f>
        <v>0.2857142857142857</v>
      </c>
      <c r="H9" s="17" cm="1">
        <f t="array" ref="H9">INDEX(Clean_Funnel_Data!$G$2:$G$13, COLUMN()-1) / INDEX(Clean_Funnel_Data!$F$2:$F$13, COLUMN()-1)</f>
        <v>0.35</v>
      </c>
      <c r="I9" s="17" cm="1">
        <f t="array" ref="I9">INDEX(Clean_Funnel_Data!$G$2:$G$13, COLUMN()-1) / INDEX(Clean_Funnel_Data!$F$2:$F$13, COLUMN()-1)</f>
        <v>0.25</v>
      </c>
      <c r="J9" s="17" cm="1">
        <f t="array" ref="J9">INDEX(Clean_Funnel_Data!$G$2:$G$13, COLUMN()-1) / INDEX(Clean_Funnel_Data!$F$2:$F$13, COLUMN()-1)</f>
        <v>0.25925925925925924</v>
      </c>
      <c r="K9" s="17" cm="1">
        <f t="array" ref="K9">INDEX(Clean_Funnel_Data!$G$2:$G$13, COLUMN()-1) / INDEX(Clean_Funnel_Data!$F$2:$F$13, COLUMN()-1)</f>
        <v>0.26923076923076922</v>
      </c>
      <c r="L9" s="17" cm="1">
        <f t="array" ref="L9">INDEX(Clean_Funnel_Data!$G$2:$G$13, COLUMN()-1) / INDEX(Clean_Funnel_Data!$F$2:$F$13, COLUMN()-1)</f>
        <v>0.32</v>
      </c>
      <c r="M9" s="17" cm="1">
        <f t="array" ref="M9">INDEX(Clean_Funnel_Data!$G$2:$G$13, COLUMN()-1) / INDEX(Clean_Funnel_Data!$F$2:$F$13, COLUMN()-1)</f>
        <v>0.33333333333333331</v>
      </c>
      <c r="N9" s="17">
        <f>SUM(Clean_Funnel_Data!G2:G13) / SUM(Clean_Funnel_Data!F2:F13)</f>
        <v>0.28030303030303028</v>
      </c>
    </row>
    <row r="12" spans="1:21" x14ac:dyDescent="0.35">
      <c r="A12" t="s">
        <v>175</v>
      </c>
    </row>
    <row r="14" spans="1:21" x14ac:dyDescent="0.35">
      <c r="A14" t="s">
        <v>177</v>
      </c>
    </row>
    <row r="16" spans="1:21" x14ac:dyDescent="0.35">
      <c r="A16" t="s">
        <v>178</v>
      </c>
    </row>
    <row r="17" spans="1:1" x14ac:dyDescent="0.35">
      <c r="A17" t="s">
        <v>179</v>
      </c>
    </row>
    <row r="18" spans="1:1" x14ac:dyDescent="0.35">
      <c r="A18" t="s">
        <v>180</v>
      </c>
    </row>
    <row r="20" spans="1:1" x14ac:dyDescent="0.35">
      <c r="A20" t="s">
        <v>176</v>
      </c>
    </row>
    <row r="21" spans="1:1" x14ac:dyDescent="0.35">
      <c r="A21" t="s">
        <v>185</v>
      </c>
    </row>
    <row r="22" spans="1:1" x14ac:dyDescent="0.35">
      <c r="A22" t="s">
        <v>181</v>
      </c>
    </row>
    <row r="24" spans="1:1" x14ac:dyDescent="0.35">
      <c r="A24" t="s">
        <v>182</v>
      </c>
    </row>
    <row r="25" spans="1:1" x14ac:dyDescent="0.35">
      <c r="A25" t="s">
        <v>183</v>
      </c>
    </row>
    <row r="26" spans="1:1" x14ac:dyDescent="0.35">
      <c r="A26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6735-1F1A-4250-85D3-7C91CD80445F}">
  <dimension ref="A1:G755"/>
  <sheetViews>
    <sheetView workbookViewId="0"/>
  </sheetViews>
  <sheetFormatPr baseColWidth="10" defaultRowHeight="14.5" x14ac:dyDescent="0.35"/>
  <cols>
    <col min="1" max="1" width="11.7265625" bestFit="1" customWidth="1"/>
    <col min="2" max="2" width="24" bestFit="1" customWidth="1"/>
    <col min="3" max="3" width="15.08984375" bestFit="1" customWidth="1"/>
    <col min="4" max="4" width="17.7265625" bestFit="1" customWidth="1"/>
    <col min="5" max="5" width="8.6328125" bestFit="1" customWidth="1"/>
    <col min="6" max="6" width="22.7265625" bestFit="1" customWidth="1"/>
    <col min="7" max="7" width="17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159</v>
      </c>
      <c r="G1" t="s">
        <v>160</v>
      </c>
    </row>
    <row r="2" spans="1:7" x14ac:dyDescent="0.35">
      <c r="A2" t="s">
        <v>5</v>
      </c>
      <c r="B2" t="s">
        <v>6</v>
      </c>
      <c r="C2" t="s">
        <v>7</v>
      </c>
      <c r="D2" s="1">
        <v>45901</v>
      </c>
      <c r="E2" s="3">
        <v>24000</v>
      </c>
      <c r="F2" t="str">
        <f>+TRIM(B2)</f>
        <v>Meridian Water Group</v>
      </c>
      <c r="G2" t="str" cm="1">
        <f t="array" ref="G2">_xlfn.IFS(
  ISNUMBER(SEARCH("Core", C2)), "Core Platform",
  ISNUMBER(SEARCH("Analytics", C2)), "Analytics",
  ISNUMBER(SEARCH("Automation", C2)), "Automation"
)</f>
        <v>Analytics</v>
      </c>
    </row>
    <row r="3" spans="1:7" x14ac:dyDescent="0.35">
      <c r="A3" t="s">
        <v>8</v>
      </c>
      <c r="B3" t="s">
        <v>9</v>
      </c>
      <c r="C3" t="s">
        <v>10</v>
      </c>
      <c r="D3" s="1">
        <v>45992</v>
      </c>
      <c r="E3" s="3">
        <v>35000</v>
      </c>
      <c r="F3" t="str">
        <f>+TRIM(B3)</f>
        <v>Cobalt Networks</v>
      </c>
      <c r="G3" t="str" cm="1">
        <f t="array" ref="G3">_xlfn.IFS(
  ISNUMBER(SEARCH("Core", C3)), "Core Platform",
  ISNUMBER(SEARCH("Analytics", C3)), "Analytics",
  ISNUMBER(SEARCH("Automation", C3)), "Automation"
)</f>
        <v>Analytics</v>
      </c>
    </row>
    <row r="4" spans="1:7" x14ac:dyDescent="0.35">
      <c r="A4" t="s">
        <v>11</v>
      </c>
      <c r="B4" t="s">
        <v>12</v>
      </c>
      <c r="C4" t="s">
        <v>13</v>
      </c>
      <c r="D4" s="1">
        <v>45931</v>
      </c>
      <c r="E4" s="3">
        <v>27000</v>
      </c>
      <c r="F4" t="str">
        <f>+TRIM(B4)</f>
        <v>Pinecrest Property</v>
      </c>
      <c r="G4" t="str" cm="1">
        <f t="array" ref="G4">_xlfn.IFS(
  ISNUMBER(SEARCH("Core", C4)), "Core Platform",
  ISNUMBER(SEARCH("Analytics", C4)), "Analytics",
  ISNUMBER(SEARCH("Automation", C4)), "Automation"
)</f>
        <v>Automation</v>
      </c>
    </row>
    <row r="5" spans="1:7" x14ac:dyDescent="0.35">
      <c r="A5" t="s">
        <v>14</v>
      </c>
      <c r="B5" t="s">
        <v>15</v>
      </c>
      <c r="C5" t="s">
        <v>16</v>
      </c>
      <c r="D5" s="1">
        <v>45870</v>
      </c>
      <c r="E5" s="3">
        <v>79000</v>
      </c>
      <c r="F5" t="str">
        <f>+TRIM(B5)</f>
        <v>Willowbrook Care</v>
      </c>
      <c r="G5" t="str" cm="1">
        <f t="array" ref="G5">_xlfn.IFS(
  ISNUMBER(SEARCH("Core", C5)), "Core Platform",
  ISNUMBER(SEARCH("Analytics", C5)), "Analytics",
  ISNUMBER(SEARCH("Automation", C5)), "Automation"
)</f>
        <v>Core Platform</v>
      </c>
    </row>
    <row r="6" spans="1:7" x14ac:dyDescent="0.35">
      <c r="A6" t="s">
        <v>17</v>
      </c>
      <c r="B6" t="s">
        <v>18</v>
      </c>
      <c r="C6" t="s">
        <v>10</v>
      </c>
      <c r="D6" s="1">
        <v>45992</v>
      </c>
      <c r="E6" s="3">
        <v>45000</v>
      </c>
      <c r="F6" t="str">
        <f>+TRIM(B6)</f>
        <v>Ironclad Security</v>
      </c>
      <c r="G6" t="str" cm="1">
        <f t="array" ref="G6">_xlfn.IFS(
  ISNUMBER(SEARCH("Core", C6)), "Core Platform",
  ISNUMBER(SEARCH("Analytics", C6)), "Analytics",
  ISNUMBER(SEARCH("Automation", C6)), "Automation"
)</f>
        <v>Analytics</v>
      </c>
    </row>
    <row r="7" spans="1:7" x14ac:dyDescent="0.35">
      <c r="A7" t="s">
        <v>19</v>
      </c>
      <c r="B7" t="s">
        <v>20</v>
      </c>
      <c r="C7" t="s">
        <v>21</v>
      </c>
      <c r="D7" s="1">
        <v>45839</v>
      </c>
      <c r="E7" s="3">
        <v>10000</v>
      </c>
      <c r="F7" t="str">
        <f>+TRIM(B7)</f>
        <v>Granite State Mechanical</v>
      </c>
      <c r="G7" t="str" cm="1">
        <f t="array" ref="G7">_xlfn.IFS(
  ISNUMBER(SEARCH("Core", C7)), "Core Platform",
  ISNUMBER(SEARCH("Analytics", C7)), "Analytics",
  ISNUMBER(SEARCH("Automation", C7)), "Automation"
)</f>
        <v>Automation</v>
      </c>
    </row>
    <row r="8" spans="1:7" x14ac:dyDescent="0.35">
      <c r="A8" t="s">
        <v>22</v>
      </c>
      <c r="B8" t="s">
        <v>23</v>
      </c>
      <c r="C8" t="s">
        <v>10</v>
      </c>
      <c r="D8" s="1">
        <v>45870</v>
      </c>
      <c r="E8" s="3">
        <v>15000</v>
      </c>
      <c r="F8" t="str">
        <f>+TRIM(B8)</f>
        <v>Ridgeline HVAC</v>
      </c>
      <c r="G8" t="str" cm="1">
        <f t="array" ref="G8">_xlfn.IFS(
  ISNUMBER(SEARCH("Core", C8)), "Core Platform",
  ISNUMBER(SEARCH("Analytics", C8)), "Analytics",
  ISNUMBER(SEARCH("Automation", C8)), "Automation"
)</f>
        <v>Analytics</v>
      </c>
    </row>
    <row r="9" spans="1:7" x14ac:dyDescent="0.35">
      <c r="A9" t="s">
        <v>24</v>
      </c>
      <c r="B9" t="s">
        <v>25</v>
      </c>
      <c r="C9" t="s">
        <v>10</v>
      </c>
      <c r="D9" s="1">
        <v>45748</v>
      </c>
      <c r="E9" s="3">
        <v>38000</v>
      </c>
      <c r="F9" t="str">
        <f>+TRIM(B9)</f>
        <v>Kestrel Telecom</v>
      </c>
      <c r="G9" t="str" cm="1">
        <f t="array" ref="G9">_xlfn.IFS(
  ISNUMBER(SEARCH("Core", C9)), "Core Platform",
  ISNUMBER(SEARCH("Analytics", C9)), "Analytics",
  ISNUMBER(SEARCH("Automation", C9)), "Automation"
)</f>
        <v>Analytics</v>
      </c>
    </row>
    <row r="10" spans="1:7" x14ac:dyDescent="0.35">
      <c r="A10" t="s">
        <v>26</v>
      </c>
      <c r="B10" t="s">
        <v>27</v>
      </c>
      <c r="C10" t="s">
        <v>28</v>
      </c>
      <c r="D10" s="1">
        <v>45962</v>
      </c>
      <c r="E10" s="3">
        <v>72000</v>
      </c>
      <c r="F10" t="str">
        <f>+TRIM(B10)</f>
        <v>Blue Harbor Logistics</v>
      </c>
      <c r="G10" t="str" cm="1">
        <f t="array" ref="G10">_xlfn.IFS(
  ISNUMBER(SEARCH("Core", C10)), "Core Platform",
  ISNUMBER(SEARCH("Analytics", C10)), "Analytics",
  ISNUMBER(SEARCH("Automation", C10)), "Automation"
)</f>
        <v>Core Platform</v>
      </c>
    </row>
    <row r="11" spans="1:7" x14ac:dyDescent="0.35">
      <c r="A11" t="s">
        <v>29</v>
      </c>
      <c r="B11" t="s">
        <v>30</v>
      </c>
      <c r="C11" t="s">
        <v>7</v>
      </c>
      <c r="D11" s="1">
        <v>45717</v>
      </c>
      <c r="E11" s="3">
        <v>36000</v>
      </c>
      <c r="F11" t="str">
        <f>+TRIM(B11)</f>
        <v>Atlas Elevator Co</v>
      </c>
      <c r="G11" t="str" cm="1">
        <f t="array" ref="G11">_xlfn.IFS(
  ISNUMBER(SEARCH("Core", C11)), "Core Platform",
  ISNUMBER(SEARCH("Analytics", C11)), "Analytics",
  ISNUMBER(SEARCH("Automation", C11)), "Automation"
)</f>
        <v>Analytics</v>
      </c>
    </row>
    <row r="12" spans="1:7" x14ac:dyDescent="0.35">
      <c r="A12" t="s">
        <v>31</v>
      </c>
      <c r="B12" t="s">
        <v>32</v>
      </c>
      <c r="C12" t="s">
        <v>28</v>
      </c>
      <c r="D12" s="1">
        <v>45778</v>
      </c>
      <c r="E12" s="3">
        <v>77000</v>
      </c>
      <c r="F12" t="str">
        <f>+TRIM(B12)</f>
        <v>Summit Fire Protection</v>
      </c>
      <c r="G12" t="str" cm="1">
        <f t="array" ref="G12">_xlfn.IFS(
  ISNUMBER(SEARCH("Core", C12)), "Core Platform",
  ISNUMBER(SEARCH("Analytics", C12)), "Analytics",
  ISNUMBER(SEARCH("Automation", C12)), "Automation"
)</f>
        <v>Core Platform</v>
      </c>
    </row>
    <row r="13" spans="1:7" x14ac:dyDescent="0.35">
      <c r="A13" t="s">
        <v>17</v>
      </c>
      <c r="B13" t="s">
        <v>18</v>
      </c>
      <c r="C13" t="s">
        <v>21</v>
      </c>
      <c r="D13" s="1">
        <v>45627</v>
      </c>
      <c r="E13" s="3">
        <v>8000</v>
      </c>
      <c r="F13" t="str">
        <f>+TRIM(B13)</f>
        <v>Ironclad Security</v>
      </c>
      <c r="G13" t="str" cm="1">
        <f t="array" ref="G13">_xlfn.IFS(
  ISNUMBER(SEARCH("Core", C13)), "Core Platform",
  ISNUMBER(SEARCH("Analytics", C13)), "Analytics",
  ISNUMBER(SEARCH("Automation", C13)), "Automation"
)</f>
        <v>Automation</v>
      </c>
    </row>
    <row r="14" spans="1:7" x14ac:dyDescent="0.35">
      <c r="A14" t="s">
        <v>33</v>
      </c>
      <c r="B14" t="s">
        <v>34</v>
      </c>
      <c r="C14" t="s">
        <v>28</v>
      </c>
      <c r="D14" s="1">
        <v>45992</v>
      </c>
      <c r="E14" s="3">
        <v>66000</v>
      </c>
      <c r="F14" t="str">
        <f>+TRIM(B14)</f>
        <v>Sandstone Roofing</v>
      </c>
      <c r="G14" t="str" cm="1">
        <f t="array" ref="G14">_xlfn.IFS(
  ISNUMBER(SEARCH("Core", C14)), "Core Platform",
  ISNUMBER(SEARCH("Analytics", C14)), "Analytics",
  ISNUMBER(SEARCH("Automation", C14)), "Automation"
)</f>
        <v>Core Platform</v>
      </c>
    </row>
    <row r="15" spans="1:7" x14ac:dyDescent="0.35">
      <c r="A15" t="s">
        <v>35</v>
      </c>
      <c r="B15" t="s">
        <v>36</v>
      </c>
      <c r="C15" t="s">
        <v>10</v>
      </c>
      <c r="D15" s="1">
        <v>45931</v>
      </c>
      <c r="E15" s="3">
        <v>13000</v>
      </c>
      <c r="F15" t="str">
        <f>+TRIM(B15)</f>
        <v>Halcyon Pharma</v>
      </c>
      <c r="G15" t="str" cm="1">
        <f t="array" ref="G15">_xlfn.IFS(
  ISNUMBER(SEARCH("Core", C15)), "Core Platform",
  ISNUMBER(SEARCH("Analytics", C15)), "Analytics",
  ISNUMBER(SEARCH("Automation", C15)), "Automation"
)</f>
        <v>Analytics</v>
      </c>
    </row>
    <row r="16" spans="1:7" x14ac:dyDescent="0.35">
      <c r="A16" t="s">
        <v>37</v>
      </c>
      <c r="B16" t="s">
        <v>38</v>
      </c>
      <c r="C16" t="s">
        <v>10</v>
      </c>
      <c r="D16" s="1">
        <v>45992</v>
      </c>
      <c r="E16" s="3">
        <v>19000</v>
      </c>
      <c r="F16" t="str">
        <f>+TRIM(B16)</f>
        <v>Fairwind Marine</v>
      </c>
      <c r="G16" t="str" cm="1">
        <f t="array" ref="G16">_xlfn.IFS(
  ISNUMBER(SEARCH("Core", C16)), "Core Platform",
  ISNUMBER(SEARCH("Analytics", C16)), "Analytics",
  ISNUMBER(SEARCH("Automation", C16)), "Automation"
)</f>
        <v>Analytics</v>
      </c>
    </row>
    <row r="17" spans="1:7" x14ac:dyDescent="0.35">
      <c r="A17" t="s">
        <v>39</v>
      </c>
      <c r="B17" t="s">
        <v>40</v>
      </c>
      <c r="C17" t="s">
        <v>28</v>
      </c>
      <c r="D17" s="1">
        <v>45748</v>
      </c>
      <c r="E17" s="3">
        <v>60000</v>
      </c>
      <c r="F17" t="str">
        <f>+TRIM(B17)</f>
        <v>Foundry Industrial</v>
      </c>
      <c r="G17" t="str" cm="1">
        <f t="array" ref="G17">_xlfn.IFS(
  ISNUMBER(SEARCH("Core", C17)), "Core Platform",
  ISNUMBER(SEARCH("Analytics", C17)), "Analytics",
  ISNUMBER(SEARCH("Automation", C17)), "Automation"
)</f>
        <v>Core Platform</v>
      </c>
    </row>
    <row r="18" spans="1:7" x14ac:dyDescent="0.35">
      <c r="A18" t="s">
        <v>41</v>
      </c>
      <c r="B18" t="s">
        <v>42</v>
      </c>
      <c r="C18" t="s">
        <v>21</v>
      </c>
      <c r="D18" s="1">
        <v>45992</v>
      </c>
      <c r="E18" s="3">
        <v>22000</v>
      </c>
      <c r="F18" t="str">
        <f>+TRIM(B18)</f>
        <v>Delta Refrigeration</v>
      </c>
      <c r="G18" t="str" cm="1">
        <f t="array" ref="G18">_xlfn.IFS(
  ISNUMBER(SEARCH("Core", C18)), "Core Platform",
  ISNUMBER(SEARCH("Analytics", C18)), "Analytics",
  ISNUMBER(SEARCH("Automation", C18)), "Automation"
)</f>
        <v>Automation</v>
      </c>
    </row>
    <row r="19" spans="1:7" x14ac:dyDescent="0.35">
      <c r="A19" t="s">
        <v>43</v>
      </c>
      <c r="B19" t="s">
        <v>44</v>
      </c>
      <c r="C19" t="s">
        <v>28</v>
      </c>
      <c r="D19" s="1">
        <v>45809</v>
      </c>
      <c r="E19" s="3">
        <v>70000</v>
      </c>
      <c r="F19" t="str">
        <f>+TRIM(B19)</f>
        <v>Harborview Plumbing</v>
      </c>
      <c r="G19" t="str" cm="1">
        <f t="array" ref="G19">_xlfn.IFS(
  ISNUMBER(SEARCH("Core", C19)), "Core Platform",
  ISNUMBER(SEARCH("Analytics", C19)), "Analytics",
  ISNUMBER(SEARCH("Automation", C19)), "Automation"
)</f>
        <v>Core Platform</v>
      </c>
    </row>
    <row r="20" spans="1:7" x14ac:dyDescent="0.35">
      <c r="A20" t="s">
        <v>19</v>
      </c>
      <c r="B20" t="s">
        <v>20</v>
      </c>
      <c r="C20" t="s">
        <v>10</v>
      </c>
      <c r="D20" s="1">
        <v>45658</v>
      </c>
      <c r="E20" s="3">
        <v>30000</v>
      </c>
      <c r="F20" t="str">
        <f>+TRIM(B20)</f>
        <v>Granite State Mechanical</v>
      </c>
      <c r="G20" t="str" cm="1">
        <f t="array" ref="G20">_xlfn.IFS(
  ISNUMBER(SEARCH("Core", C20)), "Core Platform",
  ISNUMBER(SEARCH("Analytics", C20)), "Analytics",
  ISNUMBER(SEARCH("Automation", C20)), "Automation"
)</f>
        <v>Analytics</v>
      </c>
    </row>
    <row r="21" spans="1:7" x14ac:dyDescent="0.35">
      <c r="A21" t="s">
        <v>24</v>
      </c>
      <c r="B21" t="s">
        <v>45</v>
      </c>
      <c r="C21" t="s">
        <v>16</v>
      </c>
      <c r="D21" s="1">
        <v>45901</v>
      </c>
      <c r="E21" s="3">
        <v>100000</v>
      </c>
      <c r="F21" t="str">
        <f>+TRIM(B21)</f>
        <v>Kestrel Telecom</v>
      </c>
      <c r="G21" t="str" cm="1">
        <f t="array" ref="G21">_xlfn.IFS(
  ISNUMBER(SEARCH("Core", C21)), "Core Platform",
  ISNUMBER(SEARCH("Analytics", C21)), "Analytics",
  ISNUMBER(SEARCH("Automation", C21)), "Automation"
)</f>
        <v>Core Platform</v>
      </c>
    </row>
    <row r="22" spans="1:7" x14ac:dyDescent="0.35">
      <c r="A22" t="s">
        <v>41</v>
      </c>
      <c r="B22" t="s">
        <v>42</v>
      </c>
      <c r="C22" t="s">
        <v>16</v>
      </c>
      <c r="D22" s="1">
        <v>45870</v>
      </c>
      <c r="E22" s="3">
        <v>102000</v>
      </c>
      <c r="F22" t="str">
        <f>+TRIM(B22)</f>
        <v>Delta Refrigeration</v>
      </c>
      <c r="G22" t="str" cm="1">
        <f t="array" ref="G22">_xlfn.IFS(
  ISNUMBER(SEARCH("Core", C22)), "Core Platform",
  ISNUMBER(SEARCH("Analytics", C22)), "Analytics",
  ISNUMBER(SEARCH("Automation", C22)), "Automation"
)</f>
        <v>Core Platform</v>
      </c>
    </row>
    <row r="23" spans="1:7" x14ac:dyDescent="0.35">
      <c r="A23" t="s">
        <v>29</v>
      </c>
      <c r="B23" t="s">
        <v>46</v>
      </c>
      <c r="C23" t="s">
        <v>10</v>
      </c>
      <c r="D23" s="1">
        <v>45962</v>
      </c>
      <c r="E23" s="3">
        <v>36000</v>
      </c>
      <c r="F23" t="str">
        <f>+TRIM(B23)</f>
        <v>Atlas Elevator Co</v>
      </c>
      <c r="G23" t="str" cm="1">
        <f t="array" ref="G23">_xlfn.IFS(
  ISNUMBER(SEARCH("Core", C23)), "Core Platform",
  ISNUMBER(SEARCH("Analytics", C23)), "Analytics",
  ISNUMBER(SEARCH("Automation", C23)), "Automation"
)</f>
        <v>Analytics</v>
      </c>
    </row>
    <row r="24" spans="1:7" x14ac:dyDescent="0.35">
      <c r="A24" t="s">
        <v>5</v>
      </c>
      <c r="B24" t="s">
        <v>6</v>
      </c>
      <c r="C24" t="s">
        <v>10</v>
      </c>
      <c r="D24" s="1">
        <v>45962</v>
      </c>
      <c r="E24" s="3">
        <v>24000</v>
      </c>
      <c r="F24" t="str">
        <f>+TRIM(B24)</f>
        <v>Meridian Water Group</v>
      </c>
      <c r="G24" t="str" cm="1">
        <f t="array" ref="G24">_xlfn.IFS(
  ISNUMBER(SEARCH("Core", C24)), "Core Platform",
  ISNUMBER(SEARCH("Analytics", C24)), "Analytics",
  ISNUMBER(SEARCH("Automation", C24)), "Automation"
)</f>
        <v>Analytics</v>
      </c>
    </row>
    <row r="25" spans="1:7" x14ac:dyDescent="0.35">
      <c r="A25" t="s">
        <v>19</v>
      </c>
      <c r="B25" t="s">
        <v>20</v>
      </c>
      <c r="C25" t="s">
        <v>21</v>
      </c>
      <c r="D25" s="1">
        <v>45748</v>
      </c>
      <c r="E25" s="3">
        <v>10000</v>
      </c>
      <c r="F25" t="str">
        <f>+TRIM(B25)</f>
        <v>Granite State Mechanical</v>
      </c>
      <c r="G25" t="str" cm="1">
        <f t="array" ref="G25">_xlfn.IFS(
  ISNUMBER(SEARCH("Core", C25)), "Core Platform",
  ISNUMBER(SEARCH("Analytics", C25)), "Analytics",
  ISNUMBER(SEARCH("Automation", C25)), "Automation"
)</f>
        <v>Automation</v>
      </c>
    </row>
    <row r="26" spans="1:7" x14ac:dyDescent="0.35">
      <c r="A26" t="s">
        <v>29</v>
      </c>
      <c r="B26" t="s">
        <v>46</v>
      </c>
      <c r="C26" t="s">
        <v>16</v>
      </c>
      <c r="D26" s="1">
        <v>45839</v>
      </c>
      <c r="E26" s="3">
        <v>60000</v>
      </c>
      <c r="F26" t="str">
        <f>+TRIM(B26)</f>
        <v>Atlas Elevator Co</v>
      </c>
      <c r="G26" t="str" cm="1">
        <f t="array" ref="G26">_xlfn.IFS(
  ISNUMBER(SEARCH("Core", C26)), "Core Platform",
  ISNUMBER(SEARCH("Analytics", C26)), "Analytics",
  ISNUMBER(SEARCH("Automation", C26)), "Automation"
)</f>
        <v>Core Platform</v>
      </c>
    </row>
    <row r="27" spans="1:7" x14ac:dyDescent="0.35">
      <c r="A27" t="s">
        <v>48</v>
      </c>
      <c r="B27" t="s">
        <v>49</v>
      </c>
      <c r="C27" t="s">
        <v>10</v>
      </c>
      <c r="D27" s="1">
        <v>45901</v>
      </c>
      <c r="E27" s="3">
        <v>26000</v>
      </c>
      <c r="F27" t="str">
        <f>+TRIM(B27)</f>
        <v>Lakeside Energy</v>
      </c>
      <c r="G27" t="str" cm="1">
        <f t="array" ref="G27">_xlfn.IFS(
  ISNUMBER(SEARCH("Core", C27)), "Core Platform",
  ISNUMBER(SEARCH("Analytics", C27)), "Analytics",
  ISNUMBER(SEARCH("Automation", C27)), "Automation"
)</f>
        <v>Analytics</v>
      </c>
    </row>
    <row r="28" spans="1:7" x14ac:dyDescent="0.35">
      <c r="A28" t="s">
        <v>48</v>
      </c>
      <c r="B28" t="s">
        <v>49</v>
      </c>
      <c r="C28" t="s">
        <v>21</v>
      </c>
      <c r="D28" s="1">
        <v>45778</v>
      </c>
      <c r="E28" s="3">
        <v>11000</v>
      </c>
      <c r="F28" t="str">
        <f>+TRIM(B28)</f>
        <v>Lakeside Energy</v>
      </c>
      <c r="G28" t="str" cm="1">
        <f t="array" ref="G28">_xlfn.IFS(
  ISNUMBER(SEARCH("Core", C28)), "Core Platform",
  ISNUMBER(SEARCH("Analytics", C28)), "Analytics",
  ISNUMBER(SEARCH("Automation", C28)), "Automation"
)</f>
        <v>Automation</v>
      </c>
    </row>
    <row r="29" spans="1:7" x14ac:dyDescent="0.35">
      <c r="A29" t="s">
        <v>48</v>
      </c>
      <c r="B29" t="s">
        <v>49</v>
      </c>
      <c r="C29" t="s">
        <v>50</v>
      </c>
      <c r="D29" s="1">
        <v>45717</v>
      </c>
      <c r="E29" s="3">
        <v>11000</v>
      </c>
      <c r="F29" t="str">
        <f>+TRIM(B29)</f>
        <v>Lakeside Energy</v>
      </c>
      <c r="G29" t="str" cm="1">
        <f t="array" ref="G29">_xlfn.IFS(
  ISNUMBER(SEARCH("Core", C29)), "Core Platform",
  ISNUMBER(SEARCH("Analytics", C29)), "Analytics",
  ISNUMBER(SEARCH("Automation", C29)), "Automation"
)</f>
        <v>Automation</v>
      </c>
    </row>
    <row r="30" spans="1:7" x14ac:dyDescent="0.35">
      <c r="A30" t="s">
        <v>43</v>
      </c>
      <c r="B30" t="s">
        <v>44</v>
      </c>
      <c r="C30" t="s">
        <v>28</v>
      </c>
      <c r="D30" s="1">
        <v>45658</v>
      </c>
      <c r="E30" s="3">
        <v>70000</v>
      </c>
      <c r="F30" t="str">
        <f>+TRIM(B30)</f>
        <v>Harborview Plumbing</v>
      </c>
      <c r="G30" t="str" cm="1">
        <f t="array" ref="G30">_xlfn.IFS(
  ISNUMBER(SEARCH("Core", C30)), "Core Platform",
  ISNUMBER(SEARCH("Analytics", C30)), "Analytics",
  ISNUMBER(SEARCH("Automation", C30)), "Automation"
)</f>
        <v>Core Platform</v>
      </c>
    </row>
    <row r="31" spans="1:7" x14ac:dyDescent="0.35">
      <c r="A31" t="s">
        <v>51</v>
      </c>
      <c r="B31" t="s">
        <v>52</v>
      </c>
      <c r="C31" t="s">
        <v>13</v>
      </c>
      <c r="D31" s="1">
        <v>45717</v>
      </c>
      <c r="E31" s="3">
        <v>21000</v>
      </c>
      <c r="F31" t="str">
        <f>+TRIM(B31)</f>
        <v>Cedar Peak Utilities</v>
      </c>
      <c r="G31" t="str" cm="1">
        <f t="array" ref="G31">_xlfn.IFS(
  ISNUMBER(SEARCH("Core", C31)), "Core Platform",
  ISNUMBER(SEARCH("Analytics", C31)), "Analytics",
  ISNUMBER(SEARCH("Automation", C31)), "Automation"
)</f>
        <v>Automation</v>
      </c>
    </row>
    <row r="32" spans="1:7" x14ac:dyDescent="0.35">
      <c r="A32" t="s">
        <v>53</v>
      </c>
      <c r="B32" t="s">
        <v>54</v>
      </c>
      <c r="C32" t="s">
        <v>10</v>
      </c>
      <c r="D32" s="1">
        <v>45627</v>
      </c>
      <c r="E32" s="3">
        <v>31000</v>
      </c>
      <c r="F32" t="str">
        <f>+TRIM(B32)</f>
        <v>Maple Grove Maintenance</v>
      </c>
      <c r="G32" t="str" cm="1">
        <f t="array" ref="G32">_xlfn.IFS(
  ISNUMBER(SEARCH("Core", C32)), "Core Platform",
  ISNUMBER(SEARCH("Analytics", C32)), "Analytics",
  ISNUMBER(SEARCH("Automation", C32)), "Automation"
)</f>
        <v>Analytics</v>
      </c>
    </row>
    <row r="33" spans="1:7" x14ac:dyDescent="0.35">
      <c r="A33" t="s">
        <v>5</v>
      </c>
      <c r="B33" t="s">
        <v>6</v>
      </c>
      <c r="C33" t="s">
        <v>28</v>
      </c>
      <c r="D33" s="1">
        <v>45870</v>
      </c>
      <c r="E33" s="3">
        <v>97000</v>
      </c>
      <c r="F33" t="str">
        <f>+TRIM(B33)</f>
        <v>Meridian Water Group</v>
      </c>
      <c r="G33" t="str" cm="1">
        <f t="array" ref="G33">_xlfn.IFS(
  ISNUMBER(SEARCH("Core", C33)), "Core Platform",
  ISNUMBER(SEARCH("Analytics", C33)), "Analytics",
  ISNUMBER(SEARCH("Automation", C33)), "Automation"
)</f>
        <v>Core Platform</v>
      </c>
    </row>
    <row r="34" spans="1:7" x14ac:dyDescent="0.35">
      <c r="A34" t="s">
        <v>43</v>
      </c>
      <c r="B34" t="s">
        <v>44</v>
      </c>
      <c r="C34" t="s">
        <v>28</v>
      </c>
      <c r="D34" s="1">
        <v>45748</v>
      </c>
      <c r="E34" s="3">
        <v>70000</v>
      </c>
      <c r="F34" t="str">
        <f>+TRIM(B34)</f>
        <v>Harborview Plumbing</v>
      </c>
      <c r="G34" t="str" cm="1">
        <f t="array" ref="G34">_xlfn.IFS(
  ISNUMBER(SEARCH("Core", C34)), "Core Platform",
  ISNUMBER(SEARCH("Analytics", C34)), "Analytics",
  ISNUMBER(SEARCH("Automation", C34)), "Automation"
)</f>
        <v>Core Platform</v>
      </c>
    </row>
    <row r="35" spans="1:7" x14ac:dyDescent="0.35">
      <c r="A35" t="s">
        <v>8</v>
      </c>
      <c r="B35" t="s">
        <v>9</v>
      </c>
      <c r="C35" t="s">
        <v>10</v>
      </c>
      <c r="D35" s="1">
        <v>45962</v>
      </c>
      <c r="E35" s="3">
        <v>35000</v>
      </c>
      <c r="F35" t="str">
        <f>+TRIM(B35)</f>
        <v>Cobalt Networks</v>
      </c>
      <c r="G35" t="str" cm="1">
        <f t="array" ref="G35">_xlfn.IFS(
  ISNUMBER(SEARCH("Core", C35)), "Core Platform",
  ISNUMBER(SEARCH("Analytics", C35)), "Analytics",
  ISNUMBER(SEARCH("Automation", C35)), "Automation"
)</f>
        <v>Analytics</v>
      </c>
    </row>
    <row r="36" spans="1:7" x14ac:dyDescent="0.35">
      <c r="A36" t="s">
        <v>48</v>
      </c>
      <c r="B36" t="s">
        <v>49</v>
      </c>
      <c r="C36" t="s">
        <v>50</v>
      </c>
      <c r="D36" s="1">
        <v>45901</v>
      </c>
      <c r="E36" s="3">
        <v>11000</v>
      </c>
      <c r="F36" t="str">
        <f>+TRIM(B36)</f>
        <v>Lakeside Energy</v>
      </c>
      <c r="G36" t="str" cm="1">
        <f t="array" ref="G36">_xlfn.IFS(
  ISNUMBER(SEARCH("Core", C36)), "Core Platform",
  ISNUMBER(SEARCH("Analytics", C36)), "Analytics",
  ISNUMBER(SEARCH("Automation", C36)), "Automation"
)</f>
        <v>Automation</v>
      </c>
    </row>
    <row r="37" spans="1:7" x14ac:dyDescent="0.35">
      <c r="A37" t="s">
        <v>55</v>
      </c>
      <c r="B37" t="s">
        <v>56</v>
      </c>
      <c r="C37" t="s">
        <v>28</v>
      </c>
      <c r="D37" s="1">
        <v>45931</v>
      </c>
      <c r="E37" s="3">
        <v>87000</v>
      </c>
      <c r="F37" t="str">
        <f>+TRIM(B37)</f>
        <v>Quartz Data Centers</v>
      </c>
      <c r="G37" t="str" cm="1">
        <f t="array" ref="G37">_xlfn.IFS(
  ISNUMBER(SEARCH("Core", C37)), "Core Platform",
  ISNUMBER(SEARCH("Analytics", C37)), "Analytics",
  ISNUMBER(SEARCH("Automation", C37)), "Automation"
)</f>
        <v>Core Platform</v>
      </c>
    </row>
    <row r="38" spans="1:7" x14ac:dyDescent="0.35">
      <c r="A38" t="s">
        <v>17</v>
      </c>
      <c r="B38" t="s">
        <v>18</v>
      </c>
      <c r="C38" t="s">
        <v>16</v>
      </c>
      <c r="D38" s="1">
        <v>45931</v>
      </c>
      <c r="E38" s="3">
        <v>90000</v>
      </c>
      <c r="F38" t="str">
        <f>+TRIM(B38)</f>
        <v>Ironclad Security</v>
      </c>
      <c r="G38" t="str" cm="1">
        <f t="array" ref="G38">_xlfn.IFS(
  ISNUMBER(SEARCH("Core", C38)), "Core Platform",
  ISNUMBER(SEARCH("Analytics", C38)), "Analytics",
  ISNUMBER(SEARCH("Automation", C38)), "Automation"
)</f>
        <v>Core Platform</v>
      </c>
    </row>
    <row r="39" spans="1:7" x14ac:dyDescent="0.35">
      <c r="A39" t="s">
        <v>39</v>
      </c>
      <c r="B39" t="s">
        <v>40</v>
      </c>
      <c r="C39" t="s">
        <v>28</v>
      </c>
      <c r="D39" s="1">
        <v>45962</v>
      </c>
      <c r="E39" s="3">
        <v>60000</v>
      </c>
      <c r="F39" t="str">
        <f>+TRIM(B39)</f>
        <v>Foundry Industrial</v>
      </c>
      <c r="G39" t="str" cm="1">
        <f t="array" ref="G39">_xlfn.IFS(
  ISNUMBER(SEARCH("Core", C39)), "Core Platform",
  ISNUMBER(SEARCH("Analytics", C39)), "Analytics",
  ISNUMBER(SEARCH("Automation", C39)), "Automation"
)</f>
        <v>Core Platform</v>
      </c>
    </row>
    <row r="40" spans="1:7" x14ac:dyDescent="0.35">
      <c r="A40" t="s">
        <v>53</v>
      </c>
      <c r="B40" t="s">
        <v>54</v>
      </c>
      <c r="C40" t="s">
        <v>28</v>
      </c>
      <c r="D40" s="1">
        <v>45778</v>
      </c>
      <c r="E40" s="3">
        <v>63000</v>
      </c>
      <c r="F40" t="str">
        <f>+TRIM(B40)</f>
        <v>Maple Grove Maintenance</v>
      </c>
      <c r="G40" t="str" cm="1">
        <f t="array" ref="G40">_xlfn.IFS(
  ISNUMBER(SEARCH("Core", C40)), "Core Platform",
  ISNUMBER(SEARCH("Analytics", C40)), "Analytics",
  ISNUMBER(SEARCH("Automation", C40)), "Automation"
)</f>
        <v>Core Platform</v>
      </c>
    </row>
    <row r="41" spans="1:7" x14ac:dyDescent="0.35">
      <c r="A41" t="s">
        <v>19</v>
      </c>
      <c r="B41" t="s">
        <v>20</v>
      </c>
      <c r="C41" t="s">
        <v>13</v>
      </c>
      <c r="D41" s="1">
        <v>45992</v>
      </c>
      <c r="E41" s="3">
        <v>10000</v>
      </c>
      <c r="F41" t="str">
        <f>+TRIM(B41)</f>
        <v>Granite State Mechanical</v>
      </c>
      <c r="G41" t="str" cm="1">
        <f t="array" ref="G41">_xlfn.IFS(
  ISNUMBER(SEARCH("Core", C41)), "Core Platform",
  ISNUMBER(SEARCH("Analytics", C41)), "Analytics",
  ISNUMBER(SEARCH("Automation", C41)), "Automation"
)</f>
        <v>Automation</v>
      </c>
    </row>
    <row r="42" spans="1:7" x14ac:dyDescent="0.35">
      <c r="A42" t="s">
        <v>51</v>
      </c>
      <c r="B42" t="s">
        <v>52</v>
      </c>
      <c r="C42" t="s">
        <v>16</v>
      </c>
      <c r="D42" s="1">
        <v>45717</v>
      </c>
      <c r="E42" s="3">
        <v>44000</v>
      </c>
      <c r="F42" t="str">
        <f>+TRIM(B42)</f>
        <v>Cedar Peak Utilities</v>
      </c>
      <c r="G42" t="str" cm="1">
        <f t="array" ref="G42">_xlfn.IFS(
  ISNUMBER(SEARCH("Core", C42)), "Core Platform",
  ISNUMBER(SEARCH("Analytics", C42)), "Analytics",
  ISNUMBER(SEARCH("Automation", C42)), "Automation"
)</f>
        <v>Core Platform</v>
      </c>
    </row>
    <row r="43" spans="1:7" x14ac:dyDescent="0.35">
      <c r="A43" t="s">
        <v>57</v>
      </c>
      <c r="B43" t="s">
        <v>58</v>
      </c>
      <c r="C43" t="s">
        <v>28</v>
      </c>
      <c r="D43" s="1">
        <v>45931</v>
      </c>
      <c r="E43" s="3">
        <v>52000</v>
      </c>
      <c r="F43" t="str">
        <f>+TRIM(B43)</f>
        <v>Everest Drilling</v>
      </c>
      <c r="G43" t="str" cm="1">
        <f t="array" ref="G43">_xlfn.IFS(
  ISNUMBER(SEARCH("Core", C43)), "Core Platform",
  ISNUMBER(SEARCH("Analytics", C43)), "Analytics",
  ISNUMBER(SEARCH("Automation", C43)), "Automation"
)</f>
        <v>Core Platform</v>
      </c>
    </row>
    <row r="44" spans="1:7" x14ac:dyDescent="0.35">
      <c r="A44" t="s">
        <v>29</v>
      </c>
      <c r="B44" t="s">
        <v>46</v>
      </c>
      <c r="C44" t="s">
        <v>16</v>
      </c>
      <c r="D44" s="1">
        <v>45992</v>
      </c>
      <c r="E44" s="3">
        <v>72000</v>
      </c>
      <c r="F44" t="str">
        <f>+TRIM(B44)</f>
        <v>Atlas Elevator Co</v>
      </c>
      <c r="G44" t="str" cm="1">
        <f t="array" ref="G44">_xlfn.IFS(
  ISNUMBER(SEARCH("Core", C44)), "Core Platform",
  ISNUMBER(SEARCH("Analytics", C44)), "Analytics",
  ISNUMBER(SEARCH("Automation", C44)), "Automation"
)</f>
        <v>Core Platform</v>
      </c>
    </row>
    <row r="45" spans="1:7" x14ac:dyDescent="0.35">
      <c r="A45" t="s">
        <v>11</v>
      </c>
      <c r="B45" t="s">
        <v>59</v>
      </c>
      <c r="C45" t="s">
        <v>21</v>
      </c>
      <c r="D45" s="1">
        <v>45992</v>
      </c>
      <c r="E45" s="3">
        <v>27000</v>
      </c>
      <c r="F45" t="str">
        <f>+TRIM(B45)</f>
        <v>Pinecrest Property</v>
      </c>
      <c r="G45" t="str" cm="1">
        <f t="array" ref="G45">_xlfn.IFS(
  ISNUMBER(SEARCH("Core", C45)), "Core Platform",
  ISNUMBER(SEARCH("Analytics", C45)), "Analytics",
  ISNUMBER(SEARCH("Automation", C45)), "Automation"
)</f>
        <v>Automation</v>
      </c>
    </row>
    <row r="46" spans="1:7" x14ac:dyDescent="0.35">
      <c r="A46" t="s">
        <v>60</v>
      </c>
      <c r="B46" t="s">
        <v>61</v>
      </c>
      <c r="C46" t="s">
        <v>21</v>
      </c>
      <c r="D46" s="1">
        <v>45809</v>
      </c>
      <c r="E46" s="3">
        <v>18000</v>
      </c>
      <c r="F46" t="str">
        <f>+TRIM(B46)</f>
        <v>Redwood Field Services</v>
      </c>
      <c r="G46" t="str" cm="1">
        <f t="array" ref="G46">_xlfn.IFS(
  ISNUMBER(SEARCH("Core", C46)), "Core Platform",
  ISNUMBER(SEARCH("Analytics", C46)), "Analytics",
  ISNUMBER(SEARCH("Automation", C46)), "Automation"
)</f>
        <v>Automation</v>
      </c>
    </row>
    <row r="47" spans="1:7" x14ac:dyDescent="0.35">
      <c r="A47" t="s">
        <v>24</v>
      </c>
      <c r="B47" t="s">
        <v>45</v>
      </c>
      <c r="C47" t="s">
        <v>21</v>
      </c>
      <c r="D47" s="1">
        <v>45870</v>
      </c>
      <c r="E47" s="3">
        <v>22000</v>
      </c>
      <c r="F47" t="str">
        <f>+TRIM(B47)</f>
        <v>Kestrel Telecom</v>
      </c>
      <c r="G47" t="str" cm="1">
        <f t="array" ref="G47">_xlfn.IFS(
  ISNUMBER(SEARCH("Core", C47)), "Core Platform",
  ISNUMBER(SEARCH("Analytics", C47)), "Analytics",
  ISNUMBER(SEARCH("Automation", C47)), "Automation"
)</f>
        <v>Automation</v>
      </c>
    </row>
    <row r="48" spans="1:7" x14ac:dyDescent="0.35">
      <c r="A48" t="s">
        <v>22</v>
      </c>
      <c r="B48" t="s">
        <v>23</v>
      </c>
      <c r="C48" t="s">
        <v>16</v>
      </c>
      <c r="D48" s="1">
        <v>45717</v>
      </c>
      <c r="E48" s="3">
        <v>111000</v>
      </c>
      <c r="F48" t="str">
        <f>+TRIM(B48)</f>
        <v>Ridgeline HVAC</v>
      </c>
      <c r="G48" t="str" cm="1">
        <f t="array" ref="G48">_xlfn.IFS(
  ISNUMBER(SEARCH("Core", C48)), "Core Platform",
  ISNUMBER(SEARCH("Analytics", C48)), "Analytics",
  ISNUMBER(SEARCH("Automation", C48)), "Automation"
)</f>
        <v>Core Platform</v>
      </c>
    </row>
    <row r="49" spans="1:7" x14ac:dyDescent="0.35">
      <c r="A49" t="s">
        <v>33</v>
      </c>
      <c r="B49" t="s">
        <v>34</v>
      </c>
      <c r="C49" t="s">
        <v>16</v>
      </c>
      <c r="D49" s="1">
        <v>45809</v>
      </c>
      <c r="E49" s="3">
        <v>66000</v>
      </c>
      <c r="F49" t="str">
        <f>+TRIM(B49)</f>
        <v>Sandstone Roofing</v>
      </c>
      <c r="G49" t="str" cm="1">
        <f t="array" ref="G49">_xlfn.IFS(
  ISNUMBER(SEARCH("Core", C49)), "Core Platform",
  ISNUMBER(SEARCH("Analytics", C49)), "Analytics",
  ISNUMBER(SEARCH("Automation", C49)), "Automation"
)</f>
        <v>Core Platform</v>
      </c>
    </row>
    <row r="50" spans="1:7" x14ac:dyDescent="0.35">
      <c r="A50" t="s">
        <v>33</v>
      </c>
      <c r="B50" t="s">
        <v>34</v>
      </c>
      <c r="C50" t="s">
        <v>10</v>
      </c>
      <c r="D50" s="1">
        <v>45839</v>
      </c>
      <c r="E50" s="3">
        <v>17000</v>
      </c>
      <c r="F50" t="str">
        <f>+TRIM(B50)</f>
        <v>Sandstone Roofing</v>
      </c>
      <c r="G50" t="str" cm="1">
        <f t="array" ref="G50">_xlfn.IFS(
  ISNUMBER(SEARCH("Core", C50)), "Core Platform",
  ISNUMBER(SEARCH("Analytics", C50)), "Analytics",
  ISNUMBER(SEARCH("Automation", C50)), "Automation"
)</f>
        <v>Analytics</v>
      </c>
    </row>
    <row r="51" spans="1:7" x14ac:dyDescent="0.35">
      <c r="A51" t="s">
        <v>60</v>
      </c>
      <c r="B51" t="s">
        <v>61</v>
      </c>
      <c r="C51" t="s">
        <v>16</v>
      </c>
      <c r="D51" s="1">
        <v>45658</v>
      </c>
      <c r="E51" s="3">
        <v>35000</v>
      </c>
      <c r="F51" t="str">
        <f>+TRIM(B51)</f>
        <v>Redwood Field Services</v>
      </c>
      <c r="G51" t="str" cm="1">
        <f t="array" ref="G51">_xlfn.IFS(
  ISNUMBER(SEARCH("Core", C51)), "Core Platform",
  ISNUMBER(SEARCH("Analytics", C51)), "Analytics",
  ISNUMBER(SEARCH("Automation", C51)), "Automation"
)</f>
        <v>Core Platform</v>
      </c>
    </row>
    <row r="52" spans="1:7" x14ac:dyDescent="0.35">
      <c r="A52" t="s">
        <v>19</v>
      </c>
      <c r="B52" t="s">
        <v>20</v>
      </c>
      <c r="C52" t="s">
        <v>21</v>
      </c>
      <c r="D52" s="1">
        <v>45901</v>
      </c>
      <c r="E52" s="3">
        <v>10000</v>
      </c>
      <c r="F52" t="str">
        <f>+TRIM(B52)</f>
        <v>Granite State Mechanical</v>
      </c>
      <c r="G52" t="str" cm="1">
        <f t="array" ref="G52">_xlfn.IFS(
  ISNUMBER(SEARCH("Core", C52)), "Core Platform",
  ISNUMBER(SEARCH("Analytics", C52)), "Analytics",
  ISNUMBER(SEARCH("Automation", C52)), "Automation"
)</f>
        <v>Automation</v>
      </c>
    </row>
    <row r="53" spans="1:7" x14ac:dyDescent="0.35">
      <c r="A53" t="s">
        <v>62</v>
      </c>
      <c r="B53" t="s">
        <v>63</v>
      </c>
      <c r="C53" t="s">
        <v>16</v>
      </c>
      <c r="D53" s="1">
        <v>45901</v>
      </c>
      <c r="E53" s="3">
        <v>36000</v>
      </c>
      <c r="F53" t="str">
        <f>+TRIM(B53)</f>
        <v>Copperfield Electrical</v>
      </c>
      <c r="G53" t="str" cm="1">
        <f t="array" ref="G53">_xlfn.IFS(
  ISNUMBER(SEARCH("Core", C53)), "Core Platform",
  ISNUMBER(SEARCH("Analytics", C53)), "Analytics",
  ISNUMBER(SEARCH("Automation", C53)), "Automation"
)</f>
        <v>Core Platform</v>
      </c>
    </row>
    <row r="54" spans="1:7" x14ac:dyDescent="0.35">
      <c r="A54" t="s">
        <v>19</v>
      </c>
      <c r="B54" t="s">
        <v>20</v>
      </c>
      <c r="C54" t="s">
        <v>28</v>
      </c>
      <c r="D54" s="1">
        <v>45689</v>
      </c>
      <c r="E54" s="3">
        <v>79000</v>
      </c>
      <c r="F54" t="str">
        <f>+TRIM(B54)</f>
        <v>Granite State Mechanical</v>
      </c>
      <c r="G54" t="str" cm="1">
        <f t="array" ref="G54">_xlfn.IFS(
  ISNUMBER(SEARCH("Core", C54)), "Core Platform",
  ISNUMBER(SEARCH("Analytics", C54)), "Analytics",
  ISNUMBER(SEARCH("Automation", C54)), "Automation"
)</f>
        <v>Core Platform</v>
      </c>
    </row>
    <row r="55" spans="1:7" x14ac:dyDescent="0.35">
      <c r="A55" t="s">
        <v>57</v>
      </c>
      <c r="B55" t="s">
        <v>64</v>
      </c>
      <c r="C55" t="s">
        <v>65</v>
      </c>
      <c r="D55" s="1">
        <v>45809</v>
      </c>
      <c r="E55" s="3">
        <v>18000</v>
      </c>
      <c r="F55" t="str">
        <f>+TRIM(B55)</f>
        <v>Everest Drilling</v>
      </c>
      <c r="G55" t="str" cm="1">
        <f t="array" ref="G55">_xlfn.IFS(
  ISNUMBER(SEARCH("Core", C55)), "Core Platform",
  ISNUMBER(SEARCH("Analytics", C55)), "Analytics",
  ISNUMBER(SEARCH("Automation", C55)), "Automation"
)</f>
        <v>Analytics</v>
      </c>
    </row>
    <row r="56" spans="1:7" x14ac:dyDescent="0.35">
      <c r="A56" t="s">
        <v>24</v>
      </c>
      <c r="B56" t="s">
        <v>25</v>
      </c>
      <c r="C56" t="s">
        <v>7</v>
      </c>
      <c r="D56" s="1">
        <v>45809</v>
      </c>
      <c r="E56" s="3">
        <v>38000</v>
      </c>
      <c r="F56" t="str">
        <f>+TRIM(B56)</f>
        <v>Kestrel Telecom</v>
      </c>
      <c r="G56" t="str" cm="1">
        <f t="array" ref="G56">_xlfn.IFS(
  ISNUMBER(SEARCH("Core", C56)), "Core Platform",
  ISNUMBER(SEARCH("Analytics", C56)), "Analytics",
  ISNUMBER(SEARCH("Automation", C56)), "Automation"
)</f>
        <v>Analytics</v>
      </c>
    </row>
    <row r="57" spans="1:7" x14ac:dyDescent="0.35">
      <c r="A57" t="s">
        <v>33</v>
      </c>
      <c r="B57" t="s">
        <v>34</v>
      </c>
      <c r="C57" t="s">
        <v>28</v>
      </c>
      <c r="D57" s="1">
        <v>45931</v>
      </c>
      <c r="E57" s="3">
        <v>66000</v>
      </c>
      <c r="F57" t="str">
        <f>+TRIM(B57)</f>
        <v>Sandstone Roofing</v>
      </c>
      <c r="G57" t="str" cm="1">
        <f t="array" ref="G57">_xlfn.IFS(
  ISNUMBER(SEARCH("Core", C57)), "Core Platform",
  ISNUMBER(SEARCH("Analytics", C57)), "Analytics",
  ISNUMBER(SEARCH("Automation", C57)), "Automation"
)</f>
        <v>Core Platform</v>
      </c>
    </row>
    <row r="58" spans="1:7" x14ac:dyDescent="0.35">
      <c r="A58" t="s">
        <v>24</v>
      </c>
      <c r="B58" t="s">
        <v>25</v>
      </c>
      <c r="C58" t="s">
        <v>28</v>
      </c>
      <c r="D58" s="1">
        <v>45689</v>
      </c>
      <c r="E58" s="3">
        <v>100000</v>
      </c>
      <c r="F58" t="str">
        <f>+TRIM(B58)</f>
        <v>Kestrel Telecom</v>
      </c>
      <c r="G58" t="str" cm="1">
        <f t="array" ref="G58">_xlfn.IFS(
  ISNUMBER(SEARCH("Core", C58)), "Core Platform",
  ISNUMBER(SEARCH("Analytics", C58)), "Analytics",
  ISNUMBER(SEARCH("Automation", C58)), "Automation"
)</f>
        <v>Core Platform</v>
      </c>
    </row>
    <row r="59" spans="1:7" x14ac:dyDescent="0.35">
      <c r="A59" t="s">
        <v>66</v>
      </c>
      <c r="B59" t="s">
        <v>67</v>
      </c>
      <c r="C59" t="s">
        <v>13</v>
      </c>
      <c r="D59" s="1">
        <v>45931</v>
      </c>
      <c r="E59" s="3">
        <v>19000</v>
      </c>
      <c r="F59" t="str">
        <f>+TRIM(B59)</f>
        <v>Beacon Environmental</v>
      </c>
      <c r="G59" t="str" cm="1">
        <f t="array" ref="G59">_xlfn.IFS(
  ISNUMBER(SEARCH("Core", C59)), "Core Platform",
  ISNUMBER(SEARCH("Analytics", C59)), "Analytics",
  ISNUMBER(SEARCH("Automation", C59)), "Automation"
)</f>
        <v>Automation</v>
      </c>
    </row>
    <row r="60" spans="1:7" x14ac:dyDescent="0.35">
      <c r="A60" t="s">
        <v>68</v>
      </c>
      <c r="B60" t="s">
        <v>69</v>
      </c>
      <c r="C60" t="s">
        <v>28</v>
      </c>
      <c r="D60" s="1">
        <v>45901</v>
      </c>
      <c r="E60" s="3">
        <v>40000</v>
      </c>
      <c r="F60" t="str">
        <f>+TRIM(B60)</f>
        <v>Silverline Rail</v>
      </c>
      <c r="G60" t="str" cm="1">
        <f t="array" ref="G60">_xlfn.IFS(
  ISNUMBER(SEARCH("Core", C60)), "Core Platform",
  ISNUMBER(SEARCH("Analytics", C60)), "Analytics",
  ISNUMBER(SEARCH("Automation", C60)), "Automation"
)</f>
        <v>Core Platform</v>
      </c>
    </row>
    <row r="61" spans="1:7" x14ac:dyDescent="0.35">
      <c r="A61" t="s">
        <v>48</v>
      </c>
      <c r="B61" t="s">
        <v>49</v>
      </c>
      <c r="C61" t="s">
        <v>28</v>
      </c>
      <c r="D61" s="1">
        <v>45778</v>
      </c>
      <c r="E61" s="3">
        <v>112000</v>
      </c>
      <c r="F61" t="str">
        <f>+TRIM(B61)</f>
        <v>Lakeside Energy</v>
      </c>
      <c r="G61" t="str" cm="1">
        <f t="array" ref="G61">_xlfn.IFS(
  ISNUMBER(SEARCH("Core", C61)), "Core Platform",
  ISNUMBER(SEARCH("Analytics", C61)), "Analytics",
  ISNUMBER(SEARCH("Automation", C61)), "Automation"
)</f>
        <v>Core Platform</v>
      </c>
    </row>
    <row r="62" spans="1:7" x14ac:dyDescent="0.35">
      <c r="A62" t="s">
        <v>70</v>
      </c>
      <c r="B62" t="s">
        <v>71</v>
      </c>
      <c r="C62" t="s">
        <v>13</v>
      </c>
      <c r="D62" s="1">
        <v>45992</v>
      </c>
      <c r="E62" s="3">
        <v>9000</v>
      </c>
      <c r="F62" t="str">
        <f>+TRIM(B62)</f>
        <v>Vertex Manufacturing</v>
      </c>
      <c r="G62" t="str" cm="1">
        <f t="array" ref="G62">_xlfn.IFS(
  ISNUMBER(SEARCH("Core", C62)), "Core Platform",
  ISNUMBER(SEARCH("Analytics", C62)), "Analytics",
  ISNUMBER(SEARCH("Automation", C62)), "Automation"
)</f>
        <v>Automation</v>
      </c>
    </row>
    <row r="63" spans="1:7" x14ac:dyDescent="0.35">
      <c r="A63" t="s">
        <v>19</v>
      </c>
      <c r="B63" t="s">
        <v>20</v>
      </c>
      <c r="C63" t="s">
        <v>28</v>
      </c>
      <c r="D63" s="1">
        <v>45839</v>
      </c>
      <c r="E63" s="3">
        <v>79000</v>
      </c>
      <c r="F63" t="str">
        <f>+TRIM(B63)</f>
        <v>Granite State Mechanical</v>
      </c>
      <c r="G63" t="str" cm="1">
        <f t="array" ref="G63">_xlfn.IFS(
  ISNUMBER(SEARCH("Core", C63)), "Core Platform",
  ISNUMBER(SEARCH("Analytics", C63)), "Analytics",
  ISNUMBER(SEARCH("Automation", C63)), "Automation"
)</f>
        <v>Core Platform</v>
      </c>
    </row>
    <row r="64" spans="1:7" x14ac:dyDescent="0.35">
      <c r="A64" t="s">
        <v>53</v>
      </c>
      <c r="B64" t="s">
        <v>54</v>
      </c>
      <c r="C64" t="s">
        <v>65</v>
      </c>
      <c r="D64" s="1">
        <v>45931</v>
      </c>
      <c r="E64" s="3">
        <v>40000</v>
      </c>
      <c r="F64" t="str">
        <f>+TRIM(B64)</f>
        <v>Maple Grove Maintenance</v>
      </c>
      <c r="G64" t="str" cm="1">
        <f t="array" ref="G64">_xlfn.IFS(
  ISNUMBER(SEARCH("Core", C64)), "Core Platform",
  ISNUMBER(SEARCH("Analytics", C64)), "Analytics",
  ISNUMBER(SEARCH("Automation", C64)), "Automation"
)</f>
        <v>Analytics</v>
      </c>
    </row>
    <row r="65" spans="1:7" x14ac:dyDescent="0.35">
      <c r="A65" t="s">
        <v>72</v>
      </c>
      <c r="B65" t="s">
        <v>73</v>
      </c>
      <c r="C65" t="s">
        <v>65</v>
      </c>
      <c r="D65" s="1">
        <v>45931</v>
      </c>
      <c r="E65" s="3">
        <v>33000</v>
      </c>
      <c r="F65" t="str">
        <f>+TRIM(B65)</f>
        <v>Northwind Trading</v>
      </c>
      <c r="G65" t="str" cm="1">
        <f t="array" ref="G65">_xlfn.IFS(
  ISNUMBER(SEARCH("Core", C65)), "Core Platform",
  ISNUMBER(SEARCH("Analytics", C65)), "Analytics",
  ISNUMBER(SEARCH("Automation", C65)), "Automation"
)</f>
        <v>Analytics</v>
      </c>
    </row>
    <row r="66" spans="1:7" x14ac:dyDescent="0.35">
      <c r="A66" t="s">
        <v>43</v>
      </c>
      <c r="B66" t="s">
        <v>44</v>
      </c>
      <c r="C66" t="s">
        <v>28</v>
      </c>
      <c r="D66" s="1">
        <v>45901</v>
      </c>
      <c r="E66" s="3">
        <v>70000</v>
      </c>
      <c r="F66" t="str">
        <f>+TRIM(B66)</f>
        <v>Harborview Plumbing</v>
      </c>
      <c r="G66" t="str" cm="1">
        <f t="array" ref="G66">_xlfn.IFS(
  ISNUMBER(SEARCH("Core", C66)), "Core Platform",
  ISNUMBER(SEARCH("Analytics", C66)), "Analytics",
  ISNUMBER(SEARCH("Automation", C66)), "Automation"
)</f>
        <v>Core Platform</v>
      </c>
    </row>
    <row r="67" spans="1:7" x14ac:dyDescent="0.35">
      <c r="A67" t="s">
        <v>74</v>
      </c>
      <c r="B67" t="s">
        <v>75</v>
      </c>
      <c r="C67" t="s">
        <v>28</v>
      </c>
      <c r="D67" s="1">
        <v>45809</v>
      </c>
      <c r="E67" s="3">
        <v>155000</v>
      </c>
      <c r="F67" t="str">
        <f>+TRIM(B67)</f>
        <v>Sterling Facilities</v>
      </c>
      <c r="G67" t="str" cm="1">
        <f t="array" ref="G67">_xlfn.IFS(
  ISNUMBER(SEARCH("Core", C67)), "Core Platform",
  ISNUMBER(SEARCH("Analytics", C67)), "Analytics",
  ISNUMBER(SEARCH("Automation", C67)), "Automation"
)</f>
        <v>Core Platform</v>
      </c>
    </row>
    <row r="68" spans="1:7" x14ac:dyDescent="0.35">
      <c r="A68" t="s">
        <v>60</v>
      </c>
      <c r="B68" t="s">
        <v>61</v>
      </c>
      <c r="C68" t="s">
        <v>65</v>
      </c>
      <c r="D68" s="1">
        <v>45809</v>
      </c>
      <c r="E68" s="3">
        <v>23000</v>
      </c>
      <c r="F68" t="str">
        <f>+TRIM(B68)</f>
        <v>Redwood Field Services</v>
      </c>
      <c r="G68" t="str" cm="1">
        <f t="array" ref="G68">_xlfn.IFS(
  ISNUMBER(SEARCH("Core", C68)), "Core Platform",
  ISNUMBER(SEARCH("Analytics", C68)), "Analytics",
  ISNUMBER(SEARCH("Automation", C68)), "Automation"
)</f>
        <v>Analytics</v>
      </c>
    </row>
    <row r="69" spans="1:7" x14ac:dyDescent="0.35">
      <c r="A69" t="s">
        <v>17</v>
      </c>
      <c r="B69" t="s">
        <v>18</v>
      </c>
      <c r="C69" t="s">
        <v>13</v>
      </c>
      <c r="D69" s="1">
        <v>45809</v>
      </c>
      <c r="E69" s="3">
        <v>10000</v>
      </c>
      <c r="F69" t="str">
        <f>+TRIM(B69)</f>
        <v>Ironclad Security</v>
      </c>
      <c r="G69" t="str" cm="1">
        <f t="array" ref="G69">_xlfn.IFS(
  ISNUMBER(SEARCH("Core", C69)), "Core Platform",
  ISNUMBER(SEARCH("Analytics", C69)), "Analytics",
  ISNUMBER(SEARCH("Automation", C69)), "Automation"
)</f>
        <v>Automation</v>
      </c>
    </row>
    <row r="70" spans="1:7" x14ac:dyDescent="0.35">
      <c r="A70" t="s">
        <v>26</v>
      </c>
      <c r="B70" t="s">
        <v>27</v>
      </c>
      <c r="C70" t="s">
        <v>21</v>
      </c>
      <c r="D70" s="1">
        <v>45870</v>
      </c>
      <c r="E70" s="3">
        <v>10000</v>
      </c>
      <c r="F70" t="str">
        <f>+TRIM(B70)</f>
        <v>Blue Harbor Logistics</v>
      </c>
      <c r="G70" t="str" cm="1">
        <f t="array" ref="G70">_xlfn.IFS(
  ISNUMBER(SEARCH("Core", C70)), "Core Platform",
  ISNUMBER(SEARCH("Analytics", C70)), "Analytics",
  ISNUMBER(SEARCH("Automation", C70)), "Automation"
)</f>
        <v>Automation</v>
      </c>
    </row>
    <row r="71" spans="1:7" x14ac:dyDescent="0.35">
      <c r="A71" t="s">
        <v>33</v>
      </c>
      <c r="B71" t="s">
        <v>34</v>
      </c>
      <c r="C71" t="s">
        <v>10</v>
      </c>
      <c r="D71" s="1">
        <v>45992</v>
      </c>
      <c r="E71" s="3">
        <v>17000</v>
      </c>
      <c r="F71" t="str">
        <f>+TRIM(B71)</f>
        <v>Sandstone Roofing</v>
      </c>
      <c r="G71" t="str" cm="1">
        <f t="array" ref="G71">_xlfn.IFS(
  ISNUMBER(SEARCH("Core", C71)), "Core Platform",
  ISNUMBER(SEARCH("Analytics", C71)), "Analytics",
  ISNUMBER(SEARCH("Automation", C71)), "Automation"
)</f>
        <v>Analytics</v>
      </c>
    </row>
    <row r="72" spans="1:7" x14ac:dyDescent="0.35">
      <c r="A72" t="s">
        <v>60</v>
      </c>
      <c r="B72" t="s">
        <v>76</v>
      </c>
      <c r="C72" t="s">
        <v>21</v>
      </c>
      <c r="D72" s="1">
        <v>45658</v>
      </c>
      <c r="E72" s="3">
        <v>18000</v>
      </c>
      <c r="F72" t="str">
        <f>+TRIM(B72)</f>
        <v>Redwood Field Services</v>
      </c>
      <c r="G72" t="str" cm="1">
        <f t="array" ref="G72">_xlfn.IFS(
  ISNUMBER(SEARCH("Core", C72)), "Core Platform",
  ISNUMBER(SEARCH("Analytics", C72)), "Analytics",
  ISNUMBER(SEARCH("Automation", C72)), "Automation"
)</f>
        <v>Automation</v>
      </c>
    </row>
    <row r="73" spans="1:7" x14ac:dyDescent="0.35">
      <c r="A73" t="s">
        <v>17</v>
      </c>
      <c r="B73" t="s">
        <v>18</v>
      </c>
      <c r="C73" t="s">
        <v>21</v>
      </c>
      <c r="D73" s="1">
        <v>45931</v>
      </c>
      <c r="E73" s="3">
        <v>10000</v>
      </c>
      <c r="F73" t="str">
        <f>+TRIM(B73)</f>
        <v>Ironclad Security</v>
      </c>
      <c r="G73" t="str" cm="1">
        <f t="array" ref="G73">_xlfn.IFS(
  ISNUMBER(SEARCH("Core", C73)), "Core Platform",
  ISNUMBER(SEARCH("Analytics", C73)), "Analytics",
  ISNUMBER(SEARCH("Automation", C73)), "Automation"
)</f>
        <v>Automation</v>
      </c>
    </row>
    <row r="74" spans="1:7" x14ac:dyDescent="0.35">
      <c r="A74" t="s">
        <v>48</v>
      </c>
      <c r="B74" t="s">
        <v>49</v>
      </c>
      <c r="C74" t="s">
        <v>65</v>
      </c>
      <c r="D74" s="1">
        <v>45809</v>
      </c>
      <c r="E74" s="3">
        <v>26000</v>
      </c>
      <c r="F74" t="str">
        <f>+TRIM(B74)</f>
        <v>Lakeside Energy</v>
      </c>
      <c r="G74" t="str" cm="1">
        <f t="array" ref="G74">_xlfn.IFS(
  ISNUMBER(SEARCH("Core", C74)), "Core Platform",
  ISNUMBER(SEARCH("Analytics", C74)), "Analytics",
  ISNUMBER(SEARCH("Automation", C74)), "Automation"
)</f>
        <v>Analytics</v>
      </c>
    </row>
    <row r="75" spans="1:7" x14ac:dyDescent="0.35">
      <c r="A75" t="s">
        <v>74</v>
      </c>
      <c r="B75" t="s">
        <v>75</v>
      </c>
      <c r="C75" t="s">
        <v>16</v>
      </c>
      <c r="D75" s="1">
        <v>45627</v>
      </c>
      <c r="E75" s="3">
        <v>120000</v>
      </c>
      <c r="F75" t="str">
        <f>+TRIM(B75)</f>
        <v>Sterling Facilities</v>
      </c>
      <c r="G75" t="str" cm="1">
        <f t="array" ref="G75">_xlfn.IFS(
  ISNUMBER(SEARCH("Core", C75)), "Core Platform",
  ISNUMBER(SEARCH("Analytics", C75)), "Analytics",
  ISNUMBER(SEARCH("Automation", C75)), "Automation"
)</f>
        <v>Core Platform</v>
      </c>
    </row>
    <row r="76" spans="1:7" x14ac:dyDescent="0.35">
      <c r="A76" t="s">
        <v>31</v>
      </c>
      <c r="B76" t="s">
        <v>32</v>
      </c>
      <c r="C76" t="s">
        <v>28</v>
      </c>
      <c r="D76" s="1">
        <v>45689</v>
      </c>
      <c r="E76" s="3">
        <v>77000</v>
      </c>
      <c r="F76" t="str">
        <f>+TRIM(B76)</f>
        <v>Summit Fire Protection</v>
      </c>
      <c r="G76" t="str" cm="1">
        <f t="array" ref="G76">_xlfn.IFS(
  ISNUMBER(SEARCH("Core", C76)), "Core Platform",
  ISNUMBER(SEARCH("Analytics", C76)), "Analytics",
  ISNUMBER(SEARCH("Automation", C76)), "Automation"
)</f>
        <v>Core Platform</v>
      </c>
    </row>
    <row r="77" spans="1:7" x14ac:dyDescent="0.35">
      <c r="A77" t="s">
        <v>19</v>
      </c>
      <c r="B77" t="s">
        <v>20</v>
      </c>
      <c r="C77" t="s">
        <v>16</v>
      </c>
      <c r="D77" s="1">
        <v>45778</v>
      </c>
      <c r="E77" s="3">
        <v>79000</v>
      </c>
      <c r="F77" t="str">
        <f>+TRIM(B77)</f>
        <v>Granite State Mechanical</v>
      </c>
      <c r="G77" t="str" cm="1">
        <f t="array" ref="G77">_xlfn.IFS(
  ISNUMBER(SEARCH("Core", C77)), "Core Platform",
  ISNUMBER(SEARCH("Analytics", C77)), "Analytics",
  ISNUMBER(SEARCH("Automation", C77)), "Automation"
)</f>
        <v>Core Platform</v>
      </c>
    </row>
    <row r="78" spans="1:7" x14ac:dyDescent="0.35">
      <c r="A78" t="s">
        <v>5</v>
      </c>
      <c r="B78" t="s">
        <v>6</v>
      </c>
      <c r="C78" t="s">
        <v>50</v>
      </c>
      <c r="D78" s="1">
        <v>45809</v>
      </c>
      <c r="E78" s="3">
        <v>19000</v>
      </c>
      <c r="F78" t="str">
        <f>+TRIM(B78)</f>
        <v>Meridian Water Group</v>
      </c>
      <c r="G78" t="str" cm="1">
        <f t="array" ref="G78">_xlfn.IFS(
  ISNUMBER(SEARCH("Core", C78)), "Core Platform",
  ISNUMBER(SEARCH("Analytics", C78)), "Analytics",
  ISNUMBER(SEARCH("Automation", C78)), "Automation"
)</f>
        <v>Automation</v>
      </c>
    </row>
    <row r="79" spans="1:7" x14ac:dyDescent="0.35">
      <c r="A79" t="s">
        <v>39</v>
      </c>
      <c r="B79" t="s">
        <v>40</v>
      </c>
      <c r="C79" t="s">
        <v>7</v>
      </c>
      <c r="D79" s="1">
        <v>45809</v>
      </c>
      <c r="E79" s="3">
        <v>31000</v>
      </c>
      <c r="F79" t="str">
        <f>+TRIM(B79)</f>
        <v>Foundry Industrial</v>
      </c>
      <c r="G79" t="str" cm="1">
        <f t="array" ref="G79">_xlfn.IFS(
  ISNUMBER(SEARCH("Core", C79)), "Core Platform",
  ISNUMBER(SEARCH("Analytics", C79)), "Analytics",
  ISNUMBER(SEARCH("Automation", C79)), "Automation"
)</f>
        <v>Analytics</v>
      </c>
    </row>
    <row r="80" spans="1:7" x14ac:dyDescent="0.35">
      <c r="A80" t="s">
        <v>24</v>
      </c>
      <c r="B80" t="s">
        <v>45</v>
      </c>
      <c r="C80" t="s">
        <v>10</v>
      </c>
      <c r="D80" s="1">
        <v>45901</v>
      </c>
      <c r="E80" s="3">
        <v>38000</v>
      </c>
      <c r="F80" t="str">
        <f>+TRIM(B80)</f>
        <v>Kestrel Telecom</v>
      </c>
      <c r="G80" t="str" cm="1">
        <f t="array" ref="G80">_xlfn.IFS(
  ISNUMBER(SEARCH("Core", C80)), "Core Platform",
  ISNUMBER(SEARCH("Analytics", C80)), "Analytics",
  ISNUMBER(SEARCH("Automation", C80)), "Automation"
)</f>
        <v>Analytics</v>
      </c>
    </row>
    <row r="81" spans="1:7" x14ac:dyDescent="0.35">
      <c r="A81" t="s">
        <v>66</v>
      </c>
      <c r="B81" t="s">
        <v>67</v>
      </c>
      <c r="C81" t="s">
        <v>16</v>
      </c>
      <c r="D81" s="1">
        <v>45870</v>
      </c>
      <c r="E81" s="3">
        <v>95000</v>
      </c>
      <c r="F81" t="str">
        <f>+TRIM(B81)</f>
        <v>Beacon Environmental</v>
      </c>
      <c r="G81" t="str" cm="1">
        <f t="array" ref="G81">_xlfn.IFS(
  ISNUMBER(SEARCH("Core", C81)), "Core Platform",
  ISNUMBER(SEARCH("Analytics", C81)), "Analytics",
  ISNUMBER(SEARCH("Automation", C81)), "Automation"
)</f>
        <v>Core Platform</v>
      </c>
    </row>
    <row r="82" spans="1:7" x14ac:dyDescent="0.35">
      <c r="A82" t="s">
        <v>19</v>
      </c>
      <c r="B82" t="s">
        <v>20</v>
      </c>
      <c r="C82" t="s">
        <v>21</v>
      </c>
      <c r="D82" s="1">
        <v>45870</v>
      </c>
      <c r="E82" s="3">
        <v>10000</v>
      </c>
      <c r="F82" t="str">
        <f>+TRIM(B82)</f>
        <v>Granite State Mechanical</v>
      </c>
      <c r="G82" t="str" cm="1">
        <f t="array" ref="G82">_xlfn.IFS(
  ISNUMBER(SEARCH("Core", C82)), "Core Platform",
  ISNUMBER(SEARCH("Analytics", C82)), "Analytics",
  ISNUMBER(SEARCH("Automation", C82)), "Automation"
)</f>
        <v>Automation</v>
      </c>
    </row>
    <row r="83" spans="1:7" x14ac:dyDescent="0.35">
      <c r="A83" t="s">
        <v>29</v>
      </c>
      <c r="B83" t="s">
        <v>46</v>
      </c>
      <c r="C83" t="s">
        <v>28</v>
      </c>
      <c r="D83" s="1">
        <v>45658</v>
      </c>
      <c r="E83" s="3">
        <v>60000</v>
      </c>
      <c r="F83" t="str">
        <f>+TRIM(B83)</f>
        <v>Atlas Elevator Co</v>
      </c>
      <c r="G83" t="str" cm="1">
        <f t="array" ref="G83">_xlfn.IFS(
  ISNUMBER(SEARCH("Core", C83)), "Core Platform",
  ISNUMBER(SEARCH("Analytics", C83)), "Analytics",
  ISNUMBER(SEARCH("Automation", C83)), "Automation"
)</f>
        <v>Core Platform</v>
      </c>
    </row>
    <row r="84" spans="1:7" x14ac:dyDescent="0.35">
      <c r="A84" t="s">
        <v>11</v>
      </c>
      <c r="B84" t="s">
        <v>59</v>
      </c>
      <c r="C84" t="s">
        <v>28</v>
      </c>
      <c r="D84" s="1">
        <v>45931</v>
      </c>
      <c r="E84" s="3">
        <v>118000</v>
      </c>
      <c r="F84" t="str">
        <f>+TRIM(B84)</f>
        <v>Pinecrest Property</v>
      </c>
      <c r="G84" t="str" cm="1">
        <f t="array" ref="G84">_xlfn.IFS(
  ISNUMBER(SEARCH("Core", C84)), "Core Platform",
  ISNUMBER(SEARCH("Analytics", C84)), "Analytics",
  ISNUMBER(SEARCH("Automation", C84)), "Automation"
)</f>
        <v>Core Platform</v>
      </c>
    </row>
    <row r="85" spans="1:7" x14ac:dyDescent="0.35">
      <c r="A85" t="s">
        <v>19</v>
      </c>
      <c r="B85" t="s">
        <v>77</v>
      </c>
      <c r="C85" t="s">
        <v>13</v>
      </c>
      <c r="D85" s="1">
        <v>45809</v>
      </c>
      <c r="E85" s="3">
        <v>10000</v>
      </c>
      <c r="F85" t="str">
        <f>+TRIM(B85)</f>
        <v>Granite State Mechanical</v>
      </c>
      <c r="G85" t="str" cm="1">
        <f t="array" ref="G85">_xlfn.IFS(
  ISNUMBER(SEARCH("Core", C85)), "Core Platform",
  ISNUMBER(SEARCH("Analytics", C85)), "Analytics",
  ISNUMBER(SEARCH("Automation", C85)), "Automation"
)</f>
        <v>Automation</v>
      </c>
    </row>
    <row r="86" spans="1:7" x14ac:dyDescent="0.35">
      <c r="A86" t="s">
        <v>41</v>
      </c>
      <c r="B86" t="s">
        <v>42</v>
      </c>
      <c r="C86" t="s">
        <v>16</v>
      </c>
      <c r="D86" s="1">
        <v>45839</v>
      </c>
      <c r="E86" s="3">
        <v>102000</v>
      </c>
      <c r="F86" t="str">
        <f>+TRIM(B86)</f>
        <v>Delta Refrigeration</v>
      </c>
      <c r="G86" t="str" cm="1">
        <f t="array" ref="G86">_xlfn.IFS(
  ISNUMBER(SEARCH("Core", C86)), "Core Platform",
  ISNUMBER(SEARCH("Analytics", C86)), "Analytics",
  ISNUMBER(SEARCH("Automation", C86)), "Automation"
)</f>
        <v>Core Platform</v>
      </c>
    </row>
    <row r="87" spans="1:7" x14ac:dyDescent="0.35">
      <c r="A87" t="s">
        <v>70</v>
      </c>
      <c r="B87" t="s">
        <v>71</v>
      </c>
      <c r="C87" t="s">
        <v>16</v>
      </c>
      <c r="D87" s="1">
        <v>45809</v>
      </c>
      <c r="E87" s="3">
        <v>85000</v>
      </c>
      <c r="F87" t="str">
        <f>+TRIM(B87)</f>
        <v>Vertex Manufacturing</v>
      </c>
      <c r="G87" t="str" cm="1">
        <f t="array" ref="G87">_xlfn.IFS(
  ISNUMBER(SEARCH("Core", C87)), "Core Platform",
  ISNUMBER(SEARCH("Analytics", C87)), "Analytics",
  ISNUMBER(SEARCH("Automation", C87)), "Automation"
)</f>
        <v>Core Platform</v>
      </c>
    </row>
    <row r="88" spans="1:7" x14ac:dyDescent="0.35">
      <c r="A88" t="s">
        <v>60</v>
      </c>
      <c r="B88" t="s">
        <v>61</v>
      </c>
      <c r="C88" t="s">
        <v>16</v>
      </c>
      <c r="D88" s="1">
        <v>45992</v>
      </c>
      <c r="E88" s="3">
        <v>35000</v>
      </c>
      <c r="F88" t="str">
        <f>+TRIM(B88)</f>
        <v>Redwood Field Services</v>
      </c>
      <c r="G88" t="str" cm="1">
        <f t="array" ref="G88">_xlfn.IFS(
  ISNUMBER(SEARCH("Core", C88)), "Core Platform",
  ISNUMBER(SEARCH("Analytics", C88)), "Analytics",
  ISNUMBER(SEARCH("Automation", C88)), "Automation"
)</f>
        <v>Core Platform</v>
      </c>
    </row>
    <row r="89" spans="1:7" x14ac:dyDescent="0.35">
      <c r="A89" t="s">
        <v>11</v>
      </c>
      <c r="B89" t="s">
        <v>59</v>
      </c>
      <c r="C89" t="s">
        <v>7</v>
      </c>
      <c r="D89" s="1">
        <v>45992</v>
      </c>
      <c r="E89" s="3">
        <v>39000</v>
      </c>
      <c r="F89" t="str">
        <f>+TRIM(B89)</f>
        <v>Pinecrest Property</v>
      </c>
      <c r="G89" t="str" cm="1">
        <f t="array" ref="G89">_xlfn.IFS(
  ISNUMBER(SEARCH("Core", C89)), "Core Platform",
  ISNUMBER(SEARCH("Analytics", C89)), "Analytics",
  ISNUMBER(SEARCH("Automation", C89)), "Automation"
)</f>
        <v>Analytics</v>
      </c>
    </row>
    <row r="90" spans="1:7" x14ac:dyDescent="0.35">
      <c r="A90" t="s">
        <v>22</v>
      </c>
      <c r="B90" t="s">
        <v>23</v>
      </c>
      <c r="C90" t="s">
        <v>28</v>
      </c>
      <c r="D90" s="1">
        <v>45870</v>
      </c>
      <c r="E90" s="3">
        <v>132000</v>
      </c>
      <c r="F90" t="str">
        <f>+TRIM(B90)</f>
        <v>Ridgeline HVAC</v>
      </c>
      <c r="G90" t="str" cm="1">
        <f t="array" ref="G90">_xlfn.IFS(
  ISNUMBER(SEARCH("Core", C90)), "Core Platform",
  ISNUMBER(SEARCH("Analytics", C90)), "Analytics",
  ISNUMBER(SEARCH("Automation", C90)), "Automation"
)</f>
        <v>Core Platform</v>
      </c>
    </row>
    <row r="91" spans="1:7" x14ac:dyDescent="0.35">
      <c r="A91" t="s">
        <v>68</v>
      </c>
      <c r="B91" t="s">
        <v>69</v>
      </c>
      <c r="C91" t="s">
        <v>28</v>
      </c>
      <c r="D91" s="1">
        <v>45809</v>
      </c>
      <c r="E91" s="3">
        <v>35000</v>
      </c>
      <c r="F91" t="str">
        <f>+TRIM(B91)</f>
        <v>Silverline Rail</v>
      </c>
      <c r="G91" t="str" cm="1">
        <f t="array" ref="G91">_xlfn.IFS(
  ISNUMBER(SEARCH("Core", C91)), "Core Platform",
  ISNUMBER(SEARCH("Analytics", C91)), "Analytics",
  ISNUMBER(SEARCH("Automation", C91)), "Automation"
)</f>
        <v>Core Platform</v>
      </c>
    </row>
    <row r="92" spans="1:7" x14ac:dyDescent="0.35">
      <c r="A92" t="s">
        <v>8</v>
      </c>
      <c r="B92" t="s">
        <v>9</v>
      </c>
      <c r="C92" t="s">
        <v>28</v>
      </c>
      <c r="D92" s="1">
        <v>45931</v>
      </c>
      <c r="E92" s="3">
        <v>70000</v>
      </c>
      <c r="F92" t="str">
        <f>+TRIM(B92)</f>
        <v>Cobalt Networks</v>
      </c>
      <c r="G92" t="str" cm="1">
        <f t="array" ref="G92">_xlfn.IFS(
  ISNUMBER(SEARCH("Core", C92)), "Core Platform",
  ISNUMBER(SEARCH("Analytics", C92)), "Analytics",
  ISNUMBER(SEARCH("Automation", C92)), "Automation"
)</f>
        <v>Core Platform</v>
      </c>
    </row>
    <row r="93" spans="1:7" x14ac:dyDescent="0.35">
      <c r="A93" t="s">
        <v>78</v>
      </c>
      <c r="B93" t="s">
        <v>79</v>
      </c>
      <c r="C93" t="s">
        <v>16</v>
      </c>
      <c r="D93" s="1">
        <v>45778</v>
      </c>
      <c r="E93" s="3">
        <v>49000</v>
      </c>
      <c r="F93" t="str">
        <f>+TRIM(B93)</f>
        <v>Orion Building Systems</v>
      </c>
      <c r="G93" t="str" cm="1">
        <f t="array" ref="G93">_xlfn.IFS(
  ISNUMBER(SEARCH("Core", C93)), "Core Platform",
  ISNUMBER(SEARCH("Analytics", C93)), "Analytics",
  ISNUMBER(SEARCH("Automation", C93)), "Automation"
)</f>
        <v>Core Platform</v>
      </c>
    </row>
    <row r="94" spans="1:7" x14ac:dyDescent="0.35">
      <c r="A94" t="s">
        <v>78</v>
      </c>
      <c r="B94" t="s">
        <v>80</v>
      </c>
      <c r="C94" t="s">
        <v>10</v>
      </c>
      <c r="D94" s="1">
        <v>45931</v>
      </c>
      <c r="E94" s="3">
        <v>17000</v>
      </c>
      <c r="F94" t="str">
        <f>+TRIM(B94)</f>
        <v>Orion Building Systems</v>
      </c>
      <c r="G94" t="str" cm="1">
        <f t="array" ref="G94">_xlfn.IFS(
  ISNUMBER(SEARCH("Core", C94)), "Core Platform",
  ISNUMBER(SEARCH("Analytics", C94)), "Analytics",
  ISNUMBER(SEARCH("Automation", C94)), "Automation"
)</f>
        <v>Analytics</v>
      </c>
    </row>
    <row r="95" spans="1:7" x14ac:dyDescent="0.35">
      <c r="A95" t="s">
        <v>41</v>
      </c>
      <c r="B95" t="s">
        <v>42</v>
      </c>
      <c r="C95" t="s">
        <v>10</v>
      </c>
      <c r="D95" s="1">
        <v>45931</v>
      </c>
      <c r="E95" s="3">
        <v>17000</v>
      </c>
      <c r="F95" t="str">
        <f>+TRIM(B95)</f>
        <v>Delta Refrigeration</v>
      </c>
      <c r="G95" t="str" cm="1">
        <f t="array" ref="G95">_xlfn.IFS(
  ISNUMBER(SEARCH("Core", C95)), "Core Platform",
  ISNUMBER(SEARCH("Analytics", C95)), "Analytics",
  ISNUMBER(SEARCH("Automation", C95)), "Automation"
)</f>
        <v>Analytics</v>
      </c>
    </row>
    <row r="96" spans="1:7" x14ac:dyDescent="0.35">
      <c r="A96" t="s">
        <v>35</v>
      </c>
      <c r="B96" t="s">
        <v>81</v>
      </c>
      <c r="C96" t="s">
        <v>10</v>
      </c>
      <c r="D96" s="1">
        <v>45962</v>
      </c>
      <c r="E96" s="3">
        <v>13000</v>
      </c>
      <c r="F96" t="str">
        <f>+TRIM(B96)</f>
        <v>Halcyon Pharma</v>
      </c>
      <c r="G96" t="str" cm="1">
        <f t="array" ref="G96">_xlfn.IFS(
  ISNUMBER(SEARCH("Core", C96)), "Core Platform",
  ISNUMBER(SEARCH("Analytics", C96)), "Analytics",
  ISNUMBER(SEARCH("Automation", C96)), "Automation"
)</f>
        <v>Analytics</v>
      </c>
    </row>
    <row r="97" spans="1:7" x14ac:dyDescent="0.35">
      <c r="A97" t="s">
        <v>19</v>
      </c>
      <c r="B97" t="s">
        <v>20</v>
      </c>
      <c r="C97" t="s">
        <v>28</v>
      </c>
      <c r="D97" s="1">
        <v>45901</v>
      </c>
      <c r="E97" s="3">
        <v>79000</v>
      </c>
      <c r="F97" t="str">
        <f>+TRIM(B97)</f>
        <v>Granite State Mechanical</v>
      </c>
      <c r="G97" t="str" cm="1">
        <f t="array" ref="G97">_xlfn.IFS(
  ISNUMBER(SEARCH("Core", C97)), "Core Platform",
  ISNUMBER(SEARCH("Analytics", C97)), "Analytics",
  ISNUMBER(SEARCH("Automation", C97)), "Automation"
)</f>
        <v>Core Platform</v>
      </c>
    </row>
    <row r="98" spans="1:7" x14ac:dyDescent="0.35">
      <c r="A98" t="s">
        <v>48</v>
      </c>
      <c r="B98" t="s">
        <v>49</v>
      </c>
      <c r="C98" t="s">
        <v>16</v>
      </c>
      <c r="D98" s="1">
        <v>45748</v>
      </c>
      <c r="E98" s="3">
        <v>112000</v>
      </c>
      <c r="F98" t="str">
        <f>+TRIM(B98)</f>
        <v>Lakeside Energy</v>
      </c>
      <c r="G98" t="str" cm="1">
        <f t="array" ref="G98">_xlfn.IFS(
  ISNUMBER(SEARCH("Core", C98)), "Core Platform",
  ISNUMBER(SEARCH("Analytics", C98)), "Analytics",
  ISNUMBER(SEARCH("Automation", C98)), "Automation"
)</f>
        <v>Core Platform</v>
      </c>
    </row>
    <row r="99" spans="1:7" x14ac:dyDescent="0.35">
      <c r="A99" t="s">
        <v>48</v>
      </c>
      <c r="B99" t="s">
        <v>49</v>
      </c>
      <c r="C99" t="s">
        <v>28</v>
      </c>
      <c r="D99" s="1">
        <v>45931</v>
      </c>
      <c r="E99" s="3">
        <v>112000</v>
      </c>
      <c r="F99" t="str">
        <f>+TRIM(B99)</f>
        <v>Lakeside Energy</v>
      </c>
      <c r="G99" t="str" cm="1">
        <f t="array" ref="G99">_xlfn.IFS(
  ISNUMBER(SEARCH("Core", C99)), "Core Platform",
  ISNUMBER(SEARCH("Analytics", C99)), "Analytics",
  ISNUMBER(SEARCH("Automation", C99)), "Automation"
)</f>
        <v>Core Platform</v>
      </c>
    </row>
    <row r="100" spans="1:7" x14ac:dyDescent="0.35">
      <c r="A100" t="s">
        <v>26</v>
      </c>
      <c r="B100" t="s">
        <v>27</v>
      </c>
      <c r="C100" t="s">
        <v>28</v>
      </c>
      <c r="D100" s="1">
        <v>45870</v>
      </c>
      <c r="E100" s="3">
        <v>72000</v>
      </c>
      <c r="F100" t="str">
        <f>+TRIM(B100)</f>
        <v>Blue Harbor Logistics</v>
      </c>
      <c r="G100" t="str" cm="1">
        <f t="array" ref="G100">_xlfn.IFS(
  ISNUMBER(SEARCH("Core", C100)), "Core Platform",
  ISNUMBER(SEARCH("Analytics", C100)), "Analytics",
  ISNUMBER(SEARCH("Automation", C100)), "Automation"
)</f>
        <v>Core Platform</v>
      </c>
    </row>
    <row r="101" spans="1:7" x14ac:dyDescent="0.35">
      <c r="A101" t="s">
        <v>19</v>
      </c>
      <c r="B101" t="s">
        <v>20</v>
      </c>
      <c r="C101" t="s">
        <v>16</v>
      </c>
      <c r="D101" s="1">
        <v>45962</v>
      </c>
      <c r="E101" s="3">
        <v>90000</v>
      </c>
      <c r="F101" t="str">
        <f>+TRIM(B101)</f>
        <v>Granite State Mechanical</v>
      </c>
      <c r="G101" t="str" cm="1">
        <f t="array" ref="G101">_xlfn.IFS(
  ISNUMBER(SEARCH("Core", C101)), "Core Platform",
  ISNUMBER(SEARCH("Analytics", C101)), "Analytics",
  ISNUMBER(SEARCH("Automation", C101)), "Automation"
)</f>
        <v>Core Platform</v>
      </c>
    </row>
    <row r="102" spans="1:7" x14ac:dyDescent="0.35">
      <c r="A102" t="s">
        <v>68</v>
      </c>
      <c r="B102" t="s">
        <v>69</v>
      </c>
      <c r="C102" t="s">
        <v>16</v>
      </c>
      <c r="D102" s="1">
        <v>45870</v>
      </c>
      <c r="E102" s="3">
        <v>40000</v>
      </c>
      <c r="F102" t="str">
        <f>+TRIM(B102)</f>
        <v>Silverline Rail</v>
      </c>
      <c r="G102" t="str" cm="1">
        <f t="array" ref="G102">_xlfn.IFS(
  ISNUMBER(SEARCH("Core", C102)), "Core Platform",
  ISNUMBER(SEARCH("Analytics", C102)), "Analytics",
  ISNUMBER(SEARCH("Automation", C102)), "Automation"
)</f>
        <v>Core Platform</v>
      </c>
    </row>
    <row r="103" spans="1:7" x14ac:dyDescent="0.35">
      <c r="A103" t="s">
        <v>60</v>
      </c>
      <c r="B103" t="s">
        <v>61</v>
      </c>
      <c r="C103" t="s">
        <v>10</v>
      </c>
      <c r="D103" s="1">
        <v>45992</v>
      </c>
      <c r="E103" s="3">
        <v>23000</v>
      </c>
      <c r="F103" t="str">
        <f>+TRIM(B103)</f>
        <v>Redwood Field Services</v>
      </c>
      <c r="G103" t="str" cm="1">
        <f t="array" ref="G103">_xlfn.IFS(
  ISNUMBER(SEARCH("Core", C103)), "Core Platform",
  ISNUMBER(SEARCH("Analytics", C103)), "Analytics",
  ISNUMBER(SEARCH("Automation", C103)), "Automation"
)</f>
        <v>Analytics</v>
      </c>
    </row>
    <row r="104" spans="1:7" x14ac:dyDescent="0.35">
      <c r="A104" t="s">
        <v>68</v>
      </c>
      <c r="B104" t="s">
        <v>69</v>
      </c>
      <c r="C104" t="s">
        <v>21</v>
      </c>
      <c r="D104" s="1">
        <v>45992</v>
      </c>
      <c r="E104" s="3">
        <v>19000</v>
      </c>
      <c r="F104" t="str">
        <f>+TRIM(B104)</f>
        <v>Silverline Rail</v>
      </c>
      <c r="G104" t="str" cm="1">
        <f t="array" ref="G104">_xlfn.IFS(
  ISNUMBER(SEARCH("Core", C104)), "Core Platform",
  ISNUMBER(SEARCH("Analytics", C104)), "Analytics",
  ISNUMBER(SEARCH("Automation", C104)), "Automation"
)</f>
        <v>Automation</v>
      </c>
    </row>
    <row r="105" spans="1:7" x14ac:dyDescent="0.35">
      <c r="A105" t="s">
        <v>22</v>
      </c>
      <c r="B105" t="s">
        <v>23</v>
      </c>
      <c r="C105" t="s">
        <v>16</v>
      </c>
      <c r="D105" s="1">
        <v>45778</v>
      </c>
      <c r="E105" s="3">
        <v>111000</v>
      </c>
      <c r="F105" t="str">
        <f>+TRIM(B105)</f>
        <v>Ridgeline HVAC</v>
      </c>
      <c r="G105" t="str" cm="1">
        <f t="array" ref="G105">_xlfn.IFS(
  ISNUMBER(SEARCH("Core", C105)), "Core Platform",
  ISNUMBER(SEARCH("Analytics", C105)), "Analytics",
  ISNUMBER(SEARCH("Automation", C105)), "Automation"
)</f>
        <v>Core Platform</v>
      </c>
    </row>
    <row r="106" spans="1:7" x14ac:dyDescent="0.35">
      <c r="A106" t="s">
        <v>5</v>
      </c>
      <c r="B106" t="s">
        <v>6</v>
      </c>
      <c r="C106" t="s">
        <v>28</v>
      </c>
      <c r="D106" s="1">
        <v>45962</v>
      </c>
      <c r="E106" s="3">
        <v>97000</v>
      </c>
      <c r="F106" t="str">
        <f>+TRIM(B106)</f>
        <v>Meridian Water Group</v>
      </c>
      <c r="G106" t="str" cm="1">
        <f t="array" ref="G106">_xlfn.IFS(
  ISNUMBER(SEARCH("Core", C106)), "Core Platform",
  ISNUMBER(SEARCH("Analytics", C106)), "Analytics",
  ISNUMBER(SEARCH("Automation", C106)), "Automation"
)</f>
        <v>Core Platform</v>
      </c>
    </row>
    <row r="107" spans="1:7" x14ac:dyDescent="0.35">
      <c r="A107" t="s">
        <v>19</v>
      </c>
      <c r="B107" t="s">
        <v>20</v>
      </c>
      <c r="C107" t="s">
        <v>10</v>
      </c>
      <c r="D107" s="1">
        <v>45931</v>
      </c>
      <c r="E107" s="3">
        <v>30000</v>
      </c>
      <c r="F107" t="str">
        <f>+TRIM(B107)</f>
        <v>Granite State Mechanical</v>
      </c>
      <c r="G107" t="str" cm="1">
        <f t="array" ref="G107">_xlfn.IFS(
  ISNUMBER(SEARCH("Core", C107)), "Core Platform",
  ISNUMBER(SEARCH("Analytics", C107)), "Analytics",
  ISNUMBER(SEARCH("Automation", C107)), "Automation"
)</f>
        <v>Analytics</v>
      </c>
    </row>
    <row r="108" spans="1:7" x14ac:dyDescent="0.35">
      <c r="A108" t="s">
        <v>48</v>
      </c>
      <c r="B108" t="s">
        <v>49</v>
      </c>
      <c r="C108" t="s">
        <v>10</v>
      </c>
      <c r="D108" s="1">
        <v>45658</v>
      </c>
      <c r="E108" s="3">
        <v>26000</v>
      </c>
      <c r="F108" t="str">
        <f>+TRIM(B108)</f>
        <v>Lakeside Energy</v>
      </c>
      <c r="G108" t="str" cm="1">
        <f t="array" ref="G108">_xlfn.IFS(
  ISNUMBER(SEARCH("Core", C108)), "Core Platform",
  ISNUMBER(SEARCH("Analytics", C108)), "Analytics",
  ISNUMBER(SEARCH("Automation", C108)), "Automation"
)</f>
        <v>Analytics</v>
      </c>
    </row>
    <row r="109" spans="1:7" x14ac:dyDescent="0.35">
      <c r="A109" t="s">
        <v>24</v>
      </c>
      <c r="B109" t="s">
        <v>45</v>
      </c>
      <c r="C109" t="s">
        <v>10</v>
      </c>
      <c r="D109" s="1">
        <v>45778</v>
      </c>
      <c r="E109" s="3">
        <v>38000</v>
      </c>
      <c r="F109" t="str">
        <f>+TRIM(B109)</f>
        <v>Kestrel Telecom</v>
      </c>
      <c r="G109" t="str" cm="1">
        <f t="array" ref="G109">_xlfn.IFS(
  ISNUMBER(SEARCH("Core", C109)), "Core Platform",
  ISNUMBER(SEARCH("Analytics", C109)), "Analytics",
  ISNUMBER(SEARCH("Automation", C109)), "Automation"
)</f>
        <v>Analytics</v>
      </c>
    </row>
    <row r="110" spans="1:7" x14ac:dyDescent="0.35">
      <c r="A110" t="s">
        <v>60</v>
      </c>
      <c r="B110" t="s">
        <v>61</v>
      </c>
      <c r="C110" t="s">
        <v>21</v>
      </c>
      <c r="D110" s="1">
        <v>45870</v>
      </c>
      <c r="E110" s="3">
        <v>18000</v>
      </c>
      <c r="F110" t="str">
        <f>+TRIM(B110)</f>
        <v>Redwood Field Services</v>
      </c>
      <c r="G110" t="str" cm="1">
        <f t="array" ref="G110">_xlfn.IFS(
  ISNUMBER(SEARCH("Core", C110)), "Core Platform",
  ISNUMBER(SEARCH("Analytics", C110)), "Analytics",
  ISNUMBER(SEARCH("Automation", C110)), "Automation"
)</f>
        <v>Automation</v>
      </c>
    </row>
    <row r="111" spans="1:7" x14ac:dyDescent="0.35">
      <c r="A111" t="s">
        <v>43</v>
      </c>
      <c r="B111" t="s">
        <v>44</v>
      </c>
      <c r="C111" t="s">
        <v>21</v>
      </c>
      <c r="D111" s="1">
        <v>45962</v>
      </c>
      <c r="E111" s="3">
        <v>27000</v>
      </c>
      <c r="F111" t="str">
        <f>+TRIM(B111)</f>
        <v>Harborview Plumbing</v>
      </c>
      <c r="G111" t="str" cm="1">
        <f t="array" ref="G111">_xlfn.IFS(
  ISNUMBER(SEARCH("Core", C111)), "Core Platform",
  ISNUMBER(SEARCH("Analytics", C111)), "Analytics",
  ISNUMBER(SEARCH("Automation", C111)), "Automation"
)</f>
        <v>Automation</v>
      </c>
    </row>
    <row r="112" spans="1:7" x14ac:dyDescent="0.35">
      <c r="A112" t="s">
        <v>84</v>
      </c>
      <c r="B112" t="s">
        <v>85</v>
      </c>
      <c r="C112" t="s">
        <v>28</v>
      </c>
      <c r="D112" s="1">
        <v>45962</v>
      </c>
      <c r="E112" s="3">
        <v>44000</v>
      </c>
      <c r="F112" t="str">
        <f>+TRIM(B112)</f>
        <v>Timberline Landscaping</v>
      </c>
      <c r="G112" t="str" cm="1">
        <f t="array" ref="G112">_xlfn.IFS(
  ISNUMBER(SEARCH("Core", C112)), "Core Platform",
  ISNUMBER(SEARCH("Analytics", C112)), "Analytics",
  ISNUMBER(SEARCH("Automation", C112)), "Automation"
)</f>
        <v>Core Platform</v>
      </c>
    </row>
    <row r="113" spans="1:7" x14ac:dyDescent="0.35">
      <c r="A113" t="s">
        <v>57</v>
      </c>
      <c r="B113" t="s">
        <v>58</v>
      </c>
      <c r="C113" t="s">
        <v>21</v>
      </c>
      <c r="D113" s="1">
        <v>45839</v>
      </c>
      <c r="E113" s="3">
        <v>20000</v>
      </c>
      <c r="F113" t="str">
        <f>+TRIM(B113)</f>
        <v>Everest Drilling</v>
      </c>
      <c r="G113" t="str" cm="1">
        <f t="array" ref="G113">_xlfn.IFS(
  ISNUMBER(SEARCH("Core", C113)), "Core Platform",
  ISNUMBER(SEARCH("Analytics", C113)), "Analytics",
  ISNUMBER(SEARCH("Automation", C113)), "Automation"
)</f>
        <v>Automation</v>
      </c>
    </row>
    <row r="114" spans="1:7" x14ac:dyDescent="0.35">
      <c r="A114" t="s">
        <v>43</v>
      </c>
      <c r="B114" t="s">
        <v>44</v>
      </c>
      <c r="C114" t="s">
        <v>28</v>
      </c>
      <c r="D114" s="1">
        <v>45717</v>
      </c>
      <c r="E114" s="3">
        <v>70000</v>
      </c>
      <c r="F114" t="str">
        <f>+TRIM(B114)</f>
        <v>Harborview Plumbing</v>
      </c>
      <c r="G114" t="str" cm="1">
        <f t="array" ref="G114">_xlfn.IFS(
  ISNUMBER(SEARCH("Core", C114)), "Core Platform",
  ISNUMBER(SEARCH("Analytics", C114)), "Analytics",
  ISNUMBER(SEARCH("Automation", C114)), "Automation"
)</f>
        <v>Core Platform</v>
      </c>
    </row>
    <row r="115" spans="1:7" x14ac:dyDescent="0.35">
      <c r="A115" t="s">
        <v>39</v>
      </c>
      <c r="B115" t="s">
        <v>40</v>
      </c>
      <c r="C115" t="s">
        <v>10</v>
      </c>
      <c r="D115" s="1">
        <v>45839</v>
      </c>
      <c r="E115" s="3">
        <v>31000</v>
      </c>
      <c r="F115" t="str">
        <f>+TRIM(B115)</f>
        <v>Foundry Industrial</v>
      </c>
      <c r="G115" t="str" cm="1">
        <f t="array" ref="G115">_xlfn.IFS(
  ISNUMBER(SEARCH("Core", C115)), "Core Platform",
  ISNUMBER(SEARCH("Analytics", C115)), "Analytics",
  ISNUMBER(SEARCH("Automation", C115)), "Automation"
)</f>
        <v>Analytics</v>
      </c>
    </row>
    <row r="116" spans="1:7" x14ac:dyDescent="0.35">
      <c r="A116" t="s">
        <v>72</v>
      </c>
      <c r="B116" t="s">
        <v>73</v>
      </c>
      <c r="C116" t="s">
        <v>7</v>
      </c>
      <c r="D116" s="1">
        <v>45901</v>
      </c>
      <c r="E116" s="3">
        <v>33000</v>
      </c>
      <c r="F116" t="str">
        <f>+TRIM(B116)</f>
        <v>Northwind Trading</v>
      </c>
      <c r="G116" t="str" cm="1">
        <f t="array" ref="G116">_xlfn.IFS(
  ISNUMBER(SEARCH("Core", C116)), "Core Platform",
  ISNUMBER(SEARCH("Analytics", C116)), "Analytics",
  ISNUMBER(SEARCH("Automation", C116)), "Automation"
)</f>
        <v>Analytics</v>
      </c>
    </row>
    <row r="117" spans="1:7" x14ac:dyDescent="0.35">
      <c r="A117" t="s">
        <v>66</v>
      </c>
      <c r="B117" t="s">
        <v>67</v>
      </c>
      <c r="C117" t="s">
        <v>21</v>
      </c>
      <c r="D117" s="1">
        <v>45992</v>
      </c>
      <c r="E117" s="3">
        <v>25000</v>
      </c>
      <c r="F117" t="str">
        <f>+TRIM(B117)</f>
        <v>Beacon Environmental</v>
      </c>
      <c r="G117" t="str" cm="1">
        <f t="array" ref="G117">_xlfn.IFS(
  ISNUMBER(SEARCH("Core", C117)), "Core Platform",
  ISNUMBER(SEARCH("Analytics", C117)), "Analytics",
  ISNUMBER(SEARCH("Automation", C117)), "Automation"
)</f>
        <v>Automation</v>
      </c>
    </row>
    <row r="118" spans="1:7" x14ac:dyDescent="0.35">
      <c r="A118" t="s">
        <v>53</v>
      </c>
      <c r="B118" t="s">
        <v>54</v>
      </c>
      <c r="C118" t="s">
        <v>28</v>
      </c>
      <c r="D118" s="1">
        <v>45717</v>
      </c>
      <c r="E118" s="3">
        <v>63000</v>
      </c>
      <c r="F118" t="str">
        <f>+TRIM(B118)</f>
        <v>Maple Grove Maintenance</v>
      </c>
      <c r="G118" t="str" cm="1">
        <f t="array" ref="G118">_xlfn.IFS(
  ISNUMBER(SEARCH("Core", C118)), "Core Platform",
  ISNUMBER(SEARCH("Analytics", C118)), "Analytics",
  ISNUMBER(SEARCH("Automation", C118)), "Automation"
)</f>
        <v>Core Platform</v>
      </c>
    </row>
    <row r="119" spans="1:7" x14ac:dyDescent="0.35">
      <c r="A119" t="s">
        <v>5</v>
      </c>
      <c r="B119" t="s">
        <v>6</v>
      </c>
      <c r="C119" t="s">
        <v>21</v>
      </c>
      <c r="D119" s="1">
        <v>45992</v>
      </c>
      <c r="E119" s="3">
        <v>19000</v>
      </c>
      <c r="F119" t="str">
        <f>+TRIM(B119)</f>
        <v>Meridian Water Group</v>
      </c>
      <c r="G119" t="str" cm="1">
        <f t="array" ref="G119">_xlfn.IFS(
  ISNUMBER(SEARCH("Core", C119)), "Core Platform",
  ISNUMBER(SEARCH("Analytics", C119)), "Analytics",
  ISNUMBER(SEARCH("Automation", C119)), "Automation"
)</f>
        <v>Automation</v>
      </c>
    </row>
    <row r="120" spans="1:7" x14ac:dyDescent="0.35">
      <c r="A120" t="s">
        <v>87</v>
      </c>
      <c r="B120" t="s">
        <v>88</v>
      </c>
      <c r="C120" t="s">
        <v>28</v>
      </c>
      <c r="D120" s="1">
        <v>45658</v>
      </c>
      <c r="E120" s="3">
        <v>73000</v>
      </c>
      <c r="F120" t="str">
        <f>+TRIM(B120)</f>
        <v>Brightway Solar</v>
      </c>
      <c r="G120" t="str" cm="1">
        <f t="array" ref="G120">_xlfn.IFS(
  ISNUMBER(SEARCH("Core", C120)), "Core Platform",
  ISNUMBER(SEARCH("Analytics", C120)), "Analytics",
  ISNUMBER(SEARCH("Automation", C120)), "Automation"
)</f>
        <v>Core Platform</v>
      </c>
    </row>
    <row r="121" spans="1:7" x14ac:dyDescent="0.35">
      <c r="A121" t="s">
        <v>17</v>
      </c>
      <c r="B121" t="s">
        <v>18</v>
      </c>
      <c r="C121" t="s">
        <v>28</v>
      </c>
      <c r="D121" s="1">
        <v>45901</v>
      </c>
      <c r="E121" s="3">
        <v>90000</v>
      </c>
      <c r="F121" t="str">
        <f>+TRIM(B121)</f>
        <v>Ironclad Security</v>
      </c>
      <c r="G121" t="str" cm="1">
        <f t="array" ref="G121">_xlfn.IFS(
  ISNUMBER(SEARCH("Core", C121)), "Core Platform",
  ISNUMBER(SEARCH("Analytics", C121)), "Analytics",
  ISNUMBER(SEARCH("Automation", C121)), "Automation"
)</f>
        <v>Core Platform</v>
      </c>
    </row>
    <row r="122" spans="1:7" x14ac:dyDescent="0.35">
      <c r="A122" t="s">
        <v>72</v>
      </c>
      <c r="B122" t="s">
        <v>73</v>
      </c>
      <c r="C122" t="s">
        <v>10</v>
      </c>
      <c r="D122" s="1">
        <v>45809</v>
      </c>
      <c r="E122" s="3">
        <v>27000</v>
      </c>
      <c r="F122" t="str">
        <f>+TRIM(B122)</f>
        <v>Northwind Trading</v>
      </c>
      <c r="G122" t="str" cm="1">
        <f t="array" ref="G122">_xlfn.IFS(
  ISNUMBER(SEARCH("Core", C122)), "Core Platform",
  ISNUMBER(SEARCH("Analytics", C122)), "Analytics",
  ISNUMBER(SEARCH("Automation", C122)), "Automation"
)</f>
        <v>Analytics</v>
      </c>
    </row>
    <row r="123" spans="1:7" x14ac:dyDescent="0.35">
      <c r="A123" t="s">
        <v>48</v>
      </c>
      <c r="B123" t="s">
        <v>49</v>
      </c>
      <c r="C123" t="s">
        <v>13</v>
      </c>
      <c r="D123" s="1">
        <v>45992</v>
      </c>
      <c r="E123" s="3">
        <v>11000</v>
      </c>
      <c r="F123" t="str">
        <f>+TRIM(B123)</f>
        <v>Lakeside Energy</v>
      </c>
      <c r="G123" t="str" cm="1">
        <f t="array" ref="G123">_xlfn.IFS(
  ISNUMBER(SEARCH("Core", C123)), "Core Platform",
  ISNUMBER(SEARCH("Analytics", C123)), "Analytics",
  ISNUMBER(SEARCH("Automation", C123)), "Automation"
)</f>
        <v>Automation</v>
      </c>
    </row>
    <row r="124" spans="1:7" x14ac:dyDescent="0.35">
      <c r="A124" t="s">
        <v>41</v>
      </c>
      <c r="B124" t="s">
        <v>42</v>
      </c>
      <c r="C124" t="s">
        <v>21</v>
      </c>
      <c r="D124" s="1">
        <v>45658</v>
      </c>
      <c r="E124" s="3">
        <v>22000</v>
      </c>
      <c r="F124" t="str">
        <f>+TRIM(B124)</f>
        <v>Delta Refrigeration</v>
      </c>
      <c r="G124" t="str" cm="1">
        <f t="array" ref="G124">_xlfn.IFS(
  ISNUMBER(SEARCH("Core", C124)), "Core Platform",
  ISNUMBER(SEARCH("Analytics", C124)), "Analytics",
  ISNUMBER(SEARCH("Automation", C124)), "Automation"
)</f>
        <v>Automation</v>
      </c>
    </row>
    <row r="125" spans="1:7" x14ac:dyDescent="0.35">
      <c r="A125" t="s">
        <v>17</v>
      </c>
      <c r="B125" t="s">
        <v>18</v>
      </c>
      <c r="C125" t="s">
        <v>21</v>
      </c>
      <c r="D125" s="1">
        <v>45870</v>
      </c>
      <c r="E125" s="3">
        <v>10000</v>
      </c>
      <c r="F125" t="str">
        <f>+TRIM(B125)</f>
        <v>Ironclad Security</v>
      </c>
      <c r="G125" t="str" cm="1">
        <f t="array" ref="G125">_xlfn.IFS(
  ISNUMBER(SEARCH("Core", C125)), "Core Platform",
  ISNUMBER(SEARCH("Analytics", C125)), "Analytics",
  ISNUMBER(SEARCH("Automation", C125)), "Automation"
)</f>
        <v>Automation</v>
      </c>
    </row>
    <row r="126" spans="1:7" x14ac:dyDescent="0.35">
      <c r="A126" t="s">
        <v>35</v>
      </c>
      <c r="B126" t="s">
        <v>81</v>
      </c>
      <c r="C126" t="s">
        <v>10</v>
      </c>
      <c r="D126" s="1">
        <v>45901</v>
      </c>
      <c r="E126" s="3">
        <v>13000</v>
      </c>
      <c r="F126" t="str">
        <f>+TRIM(B126)</f>
        <v>Halcyon Pharma</v>
      </c>
      <c r="G126" t="str" cm="1">
        <f t="array" ref="G126">_xlfn.IFS(
  ISNUMBER(SEARCH("Core", C126)), "Core Platform",
  ISNUMBER(SEARCH("Analytics", C126)), "Analytics",
  ISNUMBER(SEARCH("Automation", C126)), "Automation"
)</f>
        <v>Analytics</v>
      </c>
    </row>
    <row r="127" spans="1:7" x14ac:dyDescent="0.35">
      <c r="A127" t="s">
        <v>22</v>
      </c>
      <c r="B127" t="s">
        <v>23</v>
      </c>
      <c r="C127" t="s">
        <v>10</v>
      </c>
      <c r="D127" s="1">
        <v>45839</v>
      </c>
      <c r="E127" s="3">
        <v>15000</v>
      </c>
      <c r="F127" t="str">
        <f>+TRIM(B127)</f>
        <v>Ridgeline HVAC</v>
      </c>
      <c r="G127" t="str" cm="1">
        <f t="array" ref="G127">_xlfn.IFS(
  ISNUMBER(SEARCH("Core", C127)), "Core Platform",
  ISNUMBER(SEARCH("Analytics", C127)), "Analytics",
  ISNUMBER(SEARCH("Automation", C127)), "Automation"
)</f>
        <v>Analytics</v>
      </c>
    </row>
    <row r="128" spans="1:7" x14ac:dyDescent="0.35">
      <c r="A128" t="s">
        <v>89</v>
      </c>
      <c r="B128" t="s">
        <v>90</v>
      </c>
      <c r="C128" t="s">
        <v>16</v>
      </c>
      <c r="D128" s="1">
        <v>45992</v>
      </c>
      <c r="E128" s="3">
        <v>71000</v>
      </c>
      <c r="F128" t="str">
        <f>+TRIM(B128)</f>
        <v>Riverbend Agriculture</v>
      </c>
      <c r="G128" t="str" cm="1">
        <f t="array" ref="G128">_xlfn.IFS(
  ISNUMBER(SEARCH("Core", C128)), "Core Platform",
  ISNUMBER(SEARCH("Analytics", C128)), "Analytics",
  ISNUMBER(SEARCH("Automation", C128)), "Automation"
)</f>
        <v>Core Platform</v>
      </c>
    </row>
    <row r="129" spans="1:7" x14ac:dyDescent="0.35">
      <c r="A129" t="s">
        <v>17</v>
      </c>
      <c r="B129" t="s">
        <v>18</v>
      </c>
      <c r="C129" t="s">
        <v>21</v>
      </c>
      <c r="D129" s="1">
        <v>45901</v>
      </c>
      <c r="E129" s="3">
        <v>10000</v>
      </c>
      <c r="F129" t="str">
        <f>+TRIM(B129)</f>
        <v>Ironclad Security</v>
      </c>
      <c r="G129" t="str" cm="1">
        <f t="array" ref="G129">_xlfn.IFS(
  ISNUMBER(SEARCH("Core", C129)), "Core Platform",
  ISNUMBER(SEARCH("Analytics", C129)), "Analytics",
  ISNUMBER(SEARCH("Automation", C129)), "Automation"
)</f>
        <v>Automation</v>
      </c>
    </row>
    <row r="130" spans="1:7" x14ac:dyDescent="0.35">
      <c r="A130" t="s">
        <v>87</v>
      </c>
      <c r="B130" t="s">
        <v>88</v>
      </c>
      <c r="C130" t="s">
        <v>28</v>
      </c>
      <c r="D130" s="1">
        <v>45689</v>
      </c>
      <c r="E130" s="3">
        <v>73000</v>
      </c>
      <c r="F130" t="str">
        <f>+TRIM(B130)</f>
        <v>Brightway Solar</v>
      </c>
      <c r="G130" t="str" cm="1">
        <f t="array" ref="G130">_xlfn.IFS(
  ISNUMBER(SEARCH("Core", C130)), "Core Platform",
  ISNUMBER(SEARCH("Analytics", C130)), "Analytics",
  ISNUMBER(SEARCH("Automation", C130)), "Automation"
)</f>
        <v>Core Platform</v>
      </c>
    </row>
    <row r="131" spans="1:7" x14ac:dyDescent="0.35">
      <c r="A131" t="s">
        <v>74</v>
      </c>
      <c r="B131" t="s">
        <v>75</v>
      </c>
      <c r="C131" t="s">
        <v>16</v>
      </c>
      <c r="D131" s="1">
        <v>45901</v>
      </c>
      <c r="E131" s="3">
        <v>155000</v>
      </c>
      <c r="F131" t="str">
        <f>+TRIM(B131)</f>
        <v>Sterling Facilities</v>
      </c>
      <c r="G131" t="str" cm="1">
        <f t="array" ref="G131">_xlfn.IFS(
  ISNUMBER(SEARCH("Core", C131)), "Core Platform",
  ISNUMBER(SEARCH("Analytics", C131)), "Analytics",
  ISNUMBER(SEARCH("Automation", C131)), "Automation"
)</f>
        <v>Core Platform</v>
      </c>
    </row>
    <row r="132" spans="1:7" x14ac:dyDescent="0.35">
      <c r="A132" t="s">
        <v>35</v>
      </c>
      <c r="B132" t="s">
        <v>36</v>
      </c>
      <c r="C132" t="s">
        <v>16</v>
      </c>
      <c r="D132" s="1">
        <v>45992</v>
      </c>
      <c r="E132" s="3">
        <v>33000</v>
      </c>
      <c r="F132" t="str">
        <f>+TRIM(B132)</f>
        <v>Halcyon Pharma</v>
      </c>
      <c r="G132" t="str" cm="1">
        <f t="array" ref="G132">_xlfn.IFS(
  ISNUMBER(SEARCH("Core", C132)), "Core Platform",
  ISNUMBER(SEARCH("Analytics", C132)), "Analytics",
  ISNUMBER(SEARCH("Automation", C132)), "Automation"
)</f>
        <v>Core Platform</v>
      </c>
    </row>
    <row r="133" spans="1:7" x14ac:dyDescent="0.35">
      <c r="A133" t="s">
        <v>72</v>
      </c>
      <c r="B133" t="s">
        <v>73</v>
      </c>
      <c r="C133" t="s">
        <v>16</v>
      </c>
      <c r="D133" s="1">
        <v>45778</v>
      </c>
      <c r="E133" s="3">
        <v>117000</v>
      </c>
      <c r="F133" t="str">
        <f>+TRIM(B133)</f>
        <v>Northwind Trading</v>
      </c>
      <c r="G133" t="str" cm="1">
        <f t="array" ref="G133">_xlfn.IFS(
  ISNUMBER(SEARCH("Core", C133)), "Core Platform",
  ISNUMBER(SEARCH("Analytics", C133)), "Analytics",
  ISNUMBER(SEARCH("Automation", C133)), "Automation"
)</f>
        <v>Core Platform</v>
      </c>
    </row>
    <row r="134" spans="1:7" x14ac:dyDescent="0.35">
      <c r="A134" t="s">
        <v>11</v>
      </c>
      <c r="B134" t="s">
        <v>59</v>
      </c>
      <c r="C134" t="s">
        <v>21</v>
      </c>
      <c r="D134" s="1">
        <v>45717</v>
      </c>
      <c r="E134" s="3">
        <v>24000</v>
      </c>
      <c r="F134" t="str">
        <f>+TRIM(B134)</f>
        <v>Pinecrest Property</v>
      </c>
      <c r="G134" t="str" cm="1">
        <f t="array" ref="G134">_xlfn.IFS(
  ISNUMBER(SEARCH("Core", C134)), "Core Platform",
  ISNUMBER(SEARCH("Analytics", C134)), "Analytics",
  ISNUMBER(SEARCH("Automation", C134)), "Automation"
)</f>
        <v>Automation</v>
      </c>
    </row>
    <row r="135" spans="1:7" x14ac:dyDescent="0.35">
      <c r="A135" t="s">
        <v>43</v>
      </c>
      <c r="B135" t="s">
        <v>44</v>
      </c>
      <c r="C135" t="s">
        <v>16</v>
      </c>
      <c r="D135" s="1">
        <v>45778</v>
      </c>
      <c r="E135" s="3">
        <v>70000</v>
      </c>
      <c r="F135" t="str">
        <f>+TRIM(B135)</f>
        <v>Harborview Plumbing</v>
      </c>
      <c r="G135" t="str" cm="1">
        <f t="array" ref="G135">_xlfn.IFS(
  ISNUMBER(SEARCH("Core", C135)), "Core Platform",
  ISNUMBER(SEARCH("Analytics", C135)), "Analytics",
  ISNUMBER(SEARCH("Automation", C135)), "Automation"
)</f>
        <v>Core Platform</v>
      </c>
    </row>
    <row r="136" spans="1:7" x14ac:dyDescent="0.35">
      <c r="A136" t="s">
        <v>19</v>
      </c>
      <c r="B136" t="s">
        <v>20</v>
      </c>
      <c r="C136" t="s">
        <v>65</v>
      </c>
      <c r="D136" s="1">
        <v>45689</v>
      </c>
      <c r="E136" s="3">
        <v>30000</v>
      </c>
      <c r="F136" t="str">
        <f>+TRIM(B136)</f>
        <v>Granite State Mechanical</v>
      </c>
      <c r="G136" t="str" cm="1">
        <f t="array" ref="G136">_xlfn.IFS(
  ISNUMBER(SEARCH("Core", C136)), "Core Platform",
  ISNUMBER(SEARCH("Analytics", C136)), "Analytics",
  ISNUMBER(SEARCH("Automation", C136)), "Automation"
)</f>
        <v>Analytics</v>
      </c>
    </row>
    <row r="137" spans="1:7" x14ac:dyDescent="0.35">
      <c r="A137" t="s">
        <v>60</v>
      </c>
      <c r="B137" t="s">
        <v>61</v>
      </c>
      <c r="C137" t="s">
        <v>16</v>
      </c>
      <c r="D137" s="1">
        <v>45627</v>
      </c>
      <c r="E137" s="3">
        <v>35000</v>
      </c>
      <c r="F137" t="str">
        <f>+TRIM(B137)</f>
        <v>Redwood Field Services</v>
      </c>
      <c r="G137" t="str" cm="1">
        <f t="array" ref="G137">_xlfn.IFS(
  ISNUMBER(SEARCH("Core", C137)), "Core Platform",
  ISNUMBER(SEARCH("Analytics", C137)), "Analytics",
  ISNUMBER(SEARCH("Automation", C137)), "Automation"
)</f>
        <v>Core Platform</v>
      </c>
    </row>
    <row r="138" spans="1:7" x14ac:dyDescent="0.35">
      <c r="A138" t="s">
        <v>43</v>
      </c>
      <c r="B138" t="s">
        <v>44</v>
      </c>
      <c r="C138" t="s">
        <v>21</v>
      </c>
      <c r="D138" s="1">
        <v>45717</v>
      </c>
      <c r="E138" s="3">
        <v>27000</v>
      </c>
      <c r="F138" t="str">
        <f>+TRIM(B138)</f>
        <v>Harborview Plumbing</v>
      </c>
      <c r="G138" t="str" cm="1">
        <f t="array" ref="G138">_xlfn.IFS(
  ISNUMBER(SEARCH("Core", C138)), "Core Platform",
  ISNUMBER(SEARCH("Analytics", C138)), "Analytics",
  ISNUMBER(SEARCH("Automation", C138)), "Automation"
)</f>
        <v>Automation</v>
      </c>
    </row>
    <row r="139" spans="1:7" x14ac:dyDescent="0.35">
      <c r="A139" t="s">
        <v>72</v>
      </c>
      <c r="B139" t="s">
        <v>73</v>
      </c>
      <c r="C139" t="s">
        <v>16</v>
      </c>
      <c r="D139" s="1">
        <v>45748</v>
      </c>
      <c r="E139" s="3">
        <v>117000</v>
      </c>
      <c r="F139" t="str">
        <f>+TRIM(B139)</f>
        <v>Northwind Trading</v>
      </c>
      <c r="G139" t="str" cm="1">
        <f t="array" ref="G139">_xlfn.IFS(
  ISNUMBER(SEARCH("Core", C139)), "Core Platform",
  ISNUMBER(SEARCH("Analytics", C139)), "Analytics",
  ISNUMBER(SEARCH("Automation", C139)), "Automation"
)</f>
        <v>Core Platform</v>
      </c>
    </row>
    <row r="140" spans="1:7" x14ac:dyDescent="0.35">
      <c r="A140" t="s">
        <v>57</v>
      </c>
      <c r="B140" t="s">
        <v>58</v>
      </c>
      <c r="C140" t="s">
        <v>28</v>
      </c>
      <c r="D140" s="1">
        <v>45870</v>
      </c>
      <c r="E140" s="3">
        <v>52000</v>
      </c>
      <c r="F140" t="str">
        <f>+TRIM(B140)</f>
        <v>Everest Drilling</v>
      </c>
      <c r="G140" t="str" cm="1">
        <f t="array" ref="G140">_xlfn.IFS(
  ISNUMBER(SEARCH("Core", C140)), "Core Platform",
  ISNUMBER(SEARCH("Analytics", C140)), "Analytics",
  ISNUMBER(SEARCH("Automation", C140)), "Automation"
)</f>
        <v>Core Platform</v>
      </c>
    </row>
    <row r="141" spans="1:7" x14ac:dyDescent="0.35">
      <c r="A141" t="s">
        <v>91</v>
      </c>
      <c r="B141" t="s">
        <v>92</v>
      </c>
      <c r="C141" t="s">
        <v>28</v>
      </c>
      <c r="D141" s="1">
        <v>45839</v>
      </c>
      <c r="E141" s="3">
        <v>105000</v>
      </c>
      <c r="F141" t="str">
        <f>+TRIM(B141)</f>
        <v>Trailhead Equipment</v>
      </c>
      <c r="G141" t="str" cm="1">
        <f t="array" ref="G141">_xlfn.IFS(
  ISNUMBER(SEARCH("Core", C141)), "Core Platform",
  ISNUMBER(SEARCH("Analytics", C141)), "Analytics",
  ISNUMBER(SEARCH("Automation", C141)), "Automation"
)</f>
        <v>Core Platform</v>
      </c>
    </row>
    <row r="142" spans="1:7" x14ac:dyDescent="0.35">
      <c r="A142" t="s">
        <v>70</v>
      </c>
      <c r="B142" t="s">
        <v>71</v>
      </c>
      <c r="C142" t="s">
        <v>21</v>
      </c>
      <c r="D142" s="1">
        <v>45962</v>
      </c>
      <c r="E142" s="3">
        <v>9000</v>
      </c>
      <c r="F142" t="str">
        <f>+TRIM(B142)</f>
        <v>Vertex Manufacturing</v>
      </c>
      <c r="G142" t="str" cm="1">
        <f t="array" ref="G142">_xlfn.IFS(
  ISNUMBER(SEARCH("Core", C142)), "Core Platform",
  ISNUMBER(SEARCH("Analytics", C142)), "Analytics",
  ISNUMBER(SEARCH("Automation", C142)), "Automation"
)</f>
        <v>Automation</v>
      </c>
    </row>
    <row r="143" spans="1:7" x14ac:dyDescent="0.35">
      <c r="A143" t="s">
        <v>37</v>
      </c>
      <c r="B143" t="s">
        <v>38</v>
      </c>
      <c r="C143" t="s">
        <v>28</v>
      </c>
      <c r="D143" s="1">
        <v>45809</v>
      </c>
      <c r="E143" s="3">
        <v>88000</v>
      </c>
      <c r="F143" t="str">
        <f>+TRIM(B143)</f>
        <v>Fairwind Marine</v>
      </c>
      <c r="G143" t="str" cm="1">
        <f t="array" ref="G143">_xlfn.IFS(
  ISNUMBER(SEARCH("Core", C143)), "Core Platform",
  ISNUMBER(SEARCH("Analytics", C143)), "Analytics",
  ISNUMBER(SEARCH("Automation", C143)), "Automation"
)</f>
        <v>Core Platform</v>
      </c>
    </row>
    <row r="144" spans="1:7" x14ac:dyDescent="0.35">
      <c r="A144" t="s">
        <v>17</v>
      </c>
      <c r="B144" t="s">
        <v>18</v>
      </c>
      <c r="C144" t="s">
        <v>28</v>
      </c>
      <c r="D144" s="1">
        <v>45748</v>
      </c>
      <c r="E144" s="3">
        <v>90000</v>
      </c>
      <c r="F144" t="str">
        <f>+TRIM(B144)</f>
        <v>Ironclad Security</v>
      </c>
      <c r="G144" t="str" cm="1">
        <f t="array" ref="G144">_xlfn.IFS(
  ISNUMBER(SEARCH("Core", C144)), "Core Platform",
  ISNUMBER(SEARCH("Analytics", C144)), "Analytics",
  ISNUMBER(SEARCH("Automation", C144)), "Automation"
)</f>
        <v>Core Platform</v>
      </c>
    </row>
    <row r="145" spans="1:7" x14ac:dyDescent="0.35">
      <c r="A145" t="s">
        <v>72</v>
      </c>
      <c r="B145" t="s">
        <v>73</v>
      </c>
      <c r="C145" t="s">
        <v>21</v>
      </c>
      <c r="D145" s="1">
        <v>45901</v>
      </c>
      <c r="E145" s="3">
        <v>16000</v>
      </c>
      <c r="F145" t="str">
        <f>+TRIM(B145)</f>
        <v>Northwind Trading</v>
      </c>
      <c r="G145" t="str" cm="1">
        <f t="array" ref="G145">_xlfn.IFS(
  ISNUMBER(SEARCH("Core", C145)), "Core Platform",
  ISNUMBER(SEARCH("Analytics", C145)), "Analytics",
  ISNUMBER(SEARCH("Automation", C145)), "Automation"
)</f>
        <v>Automation</v>
      </c>
    </row>
    <row r="146" spans="1:7" x14ac:dyDescent="0.35">
      <c r="A146" t="s">
        <v>53</v>
      </c>
      <c r="B146" t="s">
        <v>54</v>
      </c>
      <c r="C146" t="s">
        <v>16</v>
      </c>
      <c r="D146" s="1">
        <v>45658</v>
      </c>
      <c r="E146" s="3">
        <v>63000</v>
      </c>
      <c r="F146" t="str">
        <f>+TRIM(B146)</f>
        <v>Maple Grove Maintenance</v>
      </c>
      <c r="G146" t="str" cm="1">
        <f t="array" ref="G146">_xlfn.IFS(
  ISNUMBER(SEARCH("Core", C146)), "Core Platform",
  ISNUMBER(SEARCH("Analytics", C146)), "Analytics",
  ISNUMBER(SEARCH("Automation", C146)), "Automation"
)</f>
        <v>Core Platform</v>
      </c>
    </row>
    <row r="147" spans="1:7" x14ac:dyDescent="0.35">
      <c r="A147" t="s">
        <v>33</v>
      </c>
      <c r="B147" t="s">
        <v>34</v>
      </c>
      <c r="C147" t="s">
        <v>10</v>
      </c>
      <c r="D147" s="1">
        <v>45901</v>
      </c>
      <c r="E147" s="3">
        <v>17000</v>
      </c>
      <c r="F147" t="str">
        <f>+TRIM(B147)</f>
        <v>Sandstone Roofing</v>
      </c>
      <c r="G147" t="str" cm="1">
        <f t="array" ref="G147">_xlfn.IFS(
  ISNUMBER(SEARCH("Core", C147)), "Core Platform",
  ISNUMBER(SEARCH("Analytics", C147)), "Analytics",
  ISNUMBER(SEARCH("Automation", C147)), "Automation"
)</f>
        <v>Analytics</v>
      </c>
    </row>
    <row r="148" spans="1:7" x14ac:dyDescent="0.35">
      <c r="A148" t="s">
        <v>33</v>
      </c>
      <c r="B148" t="s">
        <v>34</v>
      </c>
      <c r="C148" t="s">
        <v>10</v>
      </c>
      <c r="D148" s="1">
        <v>45962</v>
      </c>
      <c r="E148" s="3">
        <v>17000</v>
      </c>
      <c r="F148" t="str">
        <f>+TRIM(B148)</f>
        <v>Sandstone Roofing</v>
      </c>
      <c r="G148" t="str" cm="1">
        <f t="array" ref="G148">_xlfn.IFS(
  ISNUMBER(SEARCH("Core", C148)), "Core Platform",
  ISNUMBER(SEARCH("Analytics", C148)), "Analytics",
  ISNUMBER(SEARCH("Automation", C148)), "Automation"
)</f>
        <v>Analytics</v>
      </c>
    </row>
    <row r="149" spans="1:7" x14ac:dyDescent="0.35">
      <c r="A149" t="s">
        <v>8</v>
      </c>
      <c r="B149" t="s">
        <v>9</v>
      </c>
      <c r="C149" t="s">
        <v>10</v>
      </c>
      <c r="D149" s="1">
        <v>45809</v>
      </c>
      <c r="E149" s="3">
        <v>35000</v>
      </c>
      <c r="F149" t="str">
        <f>+TRIM(B149)</f>
        <v>Cobalt Networks</v>
      </c>
      <c r="G149" t="str" cm="1">
        <f t="array" ref="G149">_xlfn.IFS(
  ISNUMBER(SEARCH("Core", C149)), "Core Platform",
  ISNUMBER(SEARCH("Analytics", C149)), "Analytics",
  ISNUMBER(SEARCH("Automation", C149)), "Automation"
)</f>
        <v>Analytics</v>
      </c>
    </row>
    <row r="150" spans="1:7" x14ac:dyDescent="0.35">
      <c r="A150" t="s">
        <v>57</v>
      </c>
      <c r="B150" t="s">
        <v>58</v>
      </c>
      <c r="C150" t="s">
        <v>21</v>
      </c>
      <c r="D150" s="1">
        <v>45809</v>
      </c>
      <c r="E150" s="3">
        <v>20000</v>
      </c>
      <c r="F150" t="str">
        <f>+TRIM(B150)</f>
        <v>Everest Drilling</v>
      </c>
      <c r="G150" t="str" cm="1">
        <f t="array" ref="G150">_xlfn.IFS(
  ISNUMBER(SEARCH("Core", C150)), "Core Platform",
  ISNUMBER(SEARCH("Analytics", C150)), "Analytics",
  ISNUMBER(SEARCH("Automation", C150)), "Automation"
)</f>
        <v>Automation</v>
      </c>
    </row>
    <row r="151" spans="1:7" x14ac:dyDescent="0.35">
      <c r="A151" t="s">
        <v>24</v>
      </c>
      <c r="B151" t="s">
        <v>45</v>
      </c>
      <c r="C151" t="s">
        <v>21</v>
      </c>
      <c r="D151" s="1">
        <v>45839</v>
      </c>
      <c r="E151" s="3">
        <v>22000</v>
      </c>
      <c r="F151" t="str">
        <f>+TRIM(B151)</f>
        <v>Kestrel Telecom</v>
      </c>
      <c r="G151" t="str" cm="1">
        <f t="array" ref="G151">_xlfn.IFS(
  ISNUMBER(SEARCH("Core", C151)), "Core Platform",
  ISNUMBER(SEARCH("Analytics", C151)), "Analytics",
  ISNUMBER(SEARCH("Automation", C151)), "Automation"
)</f>
        <v>Automation</v>
      </c>
    </row>
    <row r="152" spans="1:7" x14ac:dyDescent="0.35">
      <c r="A152" t="s">
        <v>91</v>
      </c>
      <c r="B152" t="s">
        <v>92</v>
      </c>
      <c r="C152" t="s">
        <v>28</v>
      </c>
      <c r="D152" s="1">
        <v>45809</v>
      </c>
      <c r="E152" s="3">
        <v>105000</v>
      </c>
      <c r="F152" t="str">
        <f>+TRIM(B152)</f>
        <v>Trailhead Equipment</v>
      </c>
      <c r="G152" t="str" cm="1">
        <f t="array" ref="G152">_xlfn.IFS(
  ISNUMBER(SEARCH("Core", C152)), "Core Platform",
  ISNUMBER(SEARCH("Analytics", C152)), "Analytics",
  ISNUMBER(SEARCH("Automation", C152)), "Automation"
)</f>
        <v>Core Platform</v>
      </c>
    </row>
    <row r="153" spans="1:7" x14ac:dyDescent="0.35">
      <c r="A153" t="s">
        <v>66</v>
      </c>
      <c r="B153" t="s">
        <v>67</v>
      </c>
      <c r="C153" t="s">
        <v>28</v>
      </c>
      <c r="D153" s="1">
        <v>45962</v>
      </c>
      <c r="E153" s="3">
        <v>95000</v>
      </c>
      <c r="F153" t="str">
        <f>+TRIM(B153)</f>
        <v>Beacon Environmental</v>
      </c>
      <c r="G153" t="str" cm="1">
        <f t="array" ref="G153">_xlfn.IFS(
  ISNUMBER(SEARCH("Core", C153)), "Core Platform",
  ISNUMBER(SEARCH("Analytics", C153)), "Analytics",
  ISNUMBER(SEARCH("Automation", C153)), "Automation"
)</f>
        <v>Core Platform</v>
      </c>
    </row>
    <row r="154" spans="1:7" x14ac:dyDescent="0.35">
      <c r="A154" t="s">
        <v>17</v>
      </c>
      <c r="B154" t="s">
        <v>18</v>
      </c>
      <c r="C154" t="s">
        <v>50</v>
      </c>
      <c r="D154" s="1">
        <v>45992</v>
      </c>
      <c r="E154" s="3">
        <v>12000</v>
      </c>
      <c r="F154" t="str">
        <f>+TRIM(B154)</f>
        <v>Ironclad Security</v>
      </c>
      <c r="G154" t="str" cm="1">
        <f t="array" ref="G154">_xlfn.IFS(
  ISNUMBER(SEARCH("Core", C154)), "Core Platform",
  ISNUMBER(SEARCH("Analytics", C154)), "Analytics",
  ISNUMBER(SEARCH("Automation", C154)), "Automation"
)</f>
        <v>Automation</v>
      </c>
    </row>
    <row r="155" spans="1:7" x14ac:dyDescent="0.35">
      <c r="A155" t="s">
        <v>89</v>
      </c>
      <c r="B155" t="s">
        <v>94</v>
      </c>
      <c r="C155" t="s">
        <v>13</v>
      </c>
      <c r="D155" s="1">
        <v>45931</v>
      </c>
      <c r="E155" s="3">
        <v>19000</v>
      </c>
      <c r="F155" t="str">
        <f>+TRIM(B155)</f>
        <v>Riverbend Agriculture</v>
      </c>
      <c r="G155" t="str" cm="1">
        <f t="array" ref="G155">_xlfn.IFS(
  ISNUMBER(SEARCH("Core", C155)), "Core Platform",
  ISNUMBER(SEARCH("Analytics", C155)), "Analytics",
  ISNUMBER(SEARCH("Automation", C155)), "Automation"
)</f>
        <v>Automation</v>
      </c>
    </row>
    <row r="156" spans="1:7" x14ac:dyDescent="0.35">
      <c r="A156" t="s">
        <v>60</v>
      </c>
      <c r="B156" t="s">
        <v>61</v>
      </c>
      <c r="C156" t="s">
        <v>65</v>
      </c>
      <c r="D156" s="1">
        <v>45870</v>
      </c>
      <c r="E156" s="3">
        <v>23000</v>
      </c>
      <c r="F156" t="str">
        <f>+TRIM(B156)</f>
        <v>Redwood Field Services</v>
      </c>
      <c r="G156" t="str" cm="1">
        <f t="array" ref="G156">_xlfn.IFS(
  ISNUMBER(SEARCH("Core", C156)), "Core Platform",
  ISNUMBER(SEARCH("Analytics", C156)), "Analytics",
  ISNUMBER(SEARCH("Automation", C156)), "Automation"
)</f>
        <v>Analytics</v>
      </c>
    </row>
    <row r="157" spans="1:7" x14ac:dyDescent="0.35">
      <c r="A157" t="s">
        <v>11</v>
      </c>
      <c r="B157" t="s">
        <v>59</v>
      </c>
      <c r="C157" t="s">
        <v>28</v>
      </c>
      <c r="D157" s="1">
        <v>45809</v>
      </c>
      <c r="E157" s="3">
        <v>118000</v>
      </c>
      <c r="F157" t="str">
        <f>+TRIM(B157)</f>
        <v>Pinecrest Property</v>
      </c>
      <c r="G157" t="str" cm="1">
        <f t="array" ref="G157">_xlfn.IFS(
  ISNUMBER(SEARCH("Core", C157)), "Core Platform",
  ISNUMBER(SEARCH("Analytics", C157)), "Analytics",
  ISNUMBER(SEARCH("Automation", C157)), "Automation"
)</f>
        <v>Core Platform</v>
      </c>
    </row>
    <row r="158" spans="1:7" x14ac:dyDescent="0.35">
      <c r="A158" t="s">
        <v>19</v>
      </c>
      <c r="B158" t="s">
        <v>20</v>
      </c>
      <c r="C158" t="s">
        <v>21</v>
      </c>
      <c r="D158" s="1">
        <v>45962</v>
      </c>
      <c r="E158" s="3">
        <v>10000</v>
      </c>
      <c r="F158" t="str">
        <f>+TRIM(B158)</f>
        <v>Granite State Mechanical</v>
      </c>
      <c r="G158" t="str" cm="1">
        <f t="array" ref="G158">_xlfn.IFS(
  ISNUMBER(SEARCH("Core", C158)), "Core Platform",
  ISNUMBER(SEARCH("Analytics", C158)), "Analytics",
  ISNUMBER(SEARCH("Automation", C158)), "Automation"
)</f>
        <v>Automation</v>
      </c>
    </row>
    <row r="159" spans="1:7" x14ac:dyDescent="0.35">
      <c r="A159" t="s">
        <v>14</v>
      </c>
      <c r="B159" t="s">
        <v>15</v>
      </c>
      <c r="C159" t="s">
        <v>28</v>
      </c>
      <c r="D159" s="1">
        <v>45809</v>
      </c>
      <c r="E159" s="3">
        <v>79000</v>
      </c>
      <c r="F159" t="str">
        <f>+TRIM(B159)</f>
        <v>Willowbrook Care</v>
      </c>
      <c r="G159" t="str" cm="1">
        <f t="array" ref="G159">_xlfn.IFS(
  ISNUMBER(SEARCH("Core", C159)), "Core Platform",
  ISNUMBER(SEARCH("Analytics", C159)), "Analytics",
  ISNUMBER(SEARCH("Automation", C159)), "Automation"
)</f>
        <v>Core Platform</v>
      </c>
    </row>
    <row r="160" spans="1:7" x14ac:dyDescent="0.35">
      <c r="A160" t="s">
        <v>39</v>
      </c>
      <c r="B160" t="s">
        <v>40</v>
      </c>
      <c r="C160" t="s">
        <v>16</v>
      </c>
      <c r="D160" s="1">
        <v>45992</v>
      </c>
      <c r="E160" s="3">
        <v>60000</v>
      </c>
      <c r="F160" t="str">
        <f>+TRIM(B160)</f>
        <v>Foundry Industrial</v>
      </c>
      <c r="G160" t="str" cm="1">
        <f t="array" ref="G160">_xlfn.IFS(
  ISNUMBER(SEARCH("Core", C160)), "Core Platform",
  ISNUMBER(SEARCH("Analytics", C160)), "Analytics",
  ISNUMBER(SEARCH("Automation", C160)), "Automation"
)</f>
        <v>Core Platform</v>
      </c>
    </row>
    <row r="161" spans="1:7" x14ac:dyDescent="0.35">
      <c r="A161" t="s">
        <v>29</v>
      </c>
      <c r="B161" t="s">
        <v>46</v>
      </c>
      <c r="C161" t="s">
        <v>28</v>
      </c>
      <c r="D161" s="1">
        <v>45901</v>
      </c>
      <c r="E161" s="3">
        <v>60000</v>
      </c>
      <c r="F161" t="str">
        <f>+TRIM(B161)</f>
        <v>Atlas Elevator Co</v>
      </c>
      <c r="G161" t="str" cm="1">
        <f t="array" ref="G161">_xlfn.IFS(
  ISNUMBER(SEARCH("Core", C161)), "Core Platform",
  ISNUMBER(SEARCH("Analytics", C161)), "Analytics",
  ISNUMBER(SEARCH("Automation", C161)), "Automation"
)</f>
        <v>Core Platform</v>
      </c>
    </row>
    <row r="162" spans="1:7" x14ac:dyDescent="0.35">
      <c r="A162" t="s">
        <v>53</v>
      </c>
      <c r="B162" t="s">
        <v>54</v>
      </c>
      <c r="C162" t="s">
        <v>10</v>
      </c>
      <c r="D162" s="1">
        <v>45901</v>
      </c>
      <c r="E162" s="3">
        <v>35000</v>
      </c>
      <c r="F162" t="str">
        <f>+TRIM(B162)</f>
        <v>Maple Grove Maintenance</v>
      </c>
      <c r="G162" t="str" cm="1">
        <f t="array" ref="G162">_xlfn.IFS(
  ISNUMBER(SEARCH("Core", C162)), "Core Platform",
  ISNUMBER(SEARCH("Analytics", C162)), "Analytics",
  ISNUMBER(SEARCH("Automation", C162)), "Automation"
)</f>
        <v>Analytics</v>
      </c>
    </row>
    <row r="163" spans="1:7" x14ac:dyDescent="0.35">
      <c r="A163" t="s">
        <v>48</v>
      </c>
      <c r="B163" t="s">
        <v>49</v>
      </c>
      <c r="C163" t="s">
        <v>28</v>
      </c>
      <c r="D163" s="1">
        <v>45627</v>
      </c>
      <c r="E163" s="3">
        <v>100000</v>
      </c>
      <c r="F163" t="str">
        <f>+TRIM(B163)</f>
        <v>Lakeside Energy</v>
      </c>
      <c r="G163" t="str" cm="1">
        <f t="array" ref="G163">_xlfn.IFS(
  ISNUMBER(SEARCH("Core", C163)), "Core Platform",
  ISNUMBER(SEARCH("Analytics", C163)), "Analytics",
  ISNUMBER(SEARCH("Automation", C163)), "Automation"
)</f>
        <v>Core Platform</v>
      </c>
    </row>
    <row r="164" spans="1:7" x14ac:dyDescent="0.35">
      <c r="A164" t="s">
        <v>29</v>
      </c>
      <c r="B164" t="s">
        <v>46</v>
      </c>
      <c r="C164" t="s">
        <v>16</v>
      </c>
      <c r="D164" s="1">
        <v>45962</v>
      </c>
      <c r="E164" s="3">
        <v>72000</v>
      </c>
      <c r="F164" t="str">
        <f>+TRIM(B164)</f>
        <v>Atlas Elevator Co</v>
      </c>
      <c r="G164" t="str" cm="1">
        <f t="array" ref="G164">_xlfn.IFS(
  ISNUMBER(SEARCH("Core", C164)), "Core Platform",
  ISNUMBER(SEARCH("Analytics", C164)), "Analytics",
  ISNUMBER(SEARCH("Automation", C164)), "Automation"
)</f>
        <v>Core Platform</v>
      </c>
    </row>
    <row r="165" spans="1:7" x14ac:dyDescent="0.35">
      <c r="A165" t="s">
        <v>29</v>
      </c>
      <c r="B165" t="s">
        <v>46</v>
      </c>
      <c r="C165" t="s">
        <v>16</v>
      </c>
      <c r="D165" s="1">
        <v>45778</v>
      </c>
      <c r="E165" s="3">
        <v>60000</v>
      </c>
      <c r="F165" t="str">
        <f>+TRIM(B165)</f>
        <v>Atlas Elevator Co</v>
      </c>
      <c r="G165" t="str" cm="1">
        <f t="array" ref="G165">_xlfn.IFS(
  ISNUMBER(SEARCH("Core", C165)), "Core Platform",
  ISNUMBER(SEARCH("Analytics", C165)), "Analytics",
  ISNUMBER(SEARCH("Automation", C165)), "Automation"
)</f>
        <v>Core Platform</v>
      </c>
    </row>
    <row r="166" spans="1:7" x14ac:dyDescent="0.35">
      <c r="A166" t="s">
        <v>26</v>
      </c>
      <c r="B166" t="s">
        <v>27</v>
      </c>
      <c r="C166" t="s">
        <v>28</v>
      </c>
      <c r="D166" s="1">
        <v>45627</v>
      </c>
      <c r="E166" s="3">
        <v>47000</v>
      </c>
      <c r="F166" t="str">
        <f>+TRIM(B166)</f>
        <v>Blue Harbor Logistics</v>
      </c>
      <c r="G166" t="str" cm="1">
        <f t="array" ref="G166">_xlfn.IFS(
  ISNUMBER(SEARCH("Core", C166)), "Core Platform",
  ISNUMBER(SEARCH("Analytics", C166)), "Analytics",
  ISNUMBER(SEARCH("Automation", C166)), "Automation"
)</f>
        <v>Core Platform</v>
      </c>
    </row>
    <row r="167" spans="1:7" x14ac:dyDescent="0.35">
      <c r="A167" t="s">
        <v>43</v>
      </c>
      <c r="B167" t="s">
        <v>96</v>
      </c>
      <c r="C167" t="s">
        <v>65</v>
      </c>
      <c r="D167" s="1">
        <v>45992</v>
      </c>
      <c r="E167" s="3">
        <v>22000</v>
      </c>
      <c r="F167" t="str">
        <f>+TRIM(B167)</f>
        <v>Harborview Plumbing</v>
      </c>
      <c r="G167" t="str" cm="1">
        <f t="array" ref="G167">_xlfn.IFS(
  ISNUMBER(SEARCH("Core", C167)), "Core Platform",
  ISNUMBER(SEARCH("Analytics", C167)), "Analytics",
  ISNUMBER(SEARCH("Automation", C167)), "Automation"
)</f>
        <v>Analytics</v>
      </c>
    </row>
    <row r="168" spans="1:7" x14ac:dyDescent="0.35">
      <c r="A168" t="s">
        <v>70</v>
      </c>
      <c r="B168" t="s">
        <v>71</v>
      </c>
      <c r="C168" t="s">
        <v>50</v>
      </c>
      <c r="D168" s="1">
        <v>45839</v>
      </c>
      <c r="E168" s="3">
        <v>9000</v>
      </c>
      <c r="F168" t="str">
        <f>+TRIM(B168)</f>
        <v>Vertex Manufacturing</v>
      </c>
      <c r="G168" t="str" cm="1">
        <f t="array" ref="G168">_xlfn.IFS(
  ISNUMBER(SEARCH("Core", C168)), "Core Platform",
  ISNUMBER(SEARCH("Analytics", C168)), "Analytics",
  ISNUMBER(SEARCH("Automation", C168)), "Automation"
)</f>
        <v>Automation</v>
      </c>
    </row>
    <row r="169" spans="1:7" x14ac:dyDescent="0.35">
      <c r="A169" t="s">
        <v>29</v>
      </c>
      <c r="B169" t="s">
        <v>46</v>
      </c>
      <c r="C169" t="s">
        <v>65</v>
      </c>
      <c r="D169" s="1">
        <v>45778</v>
      </c>
      <c r="E169" s="3">
        <v>36000</v>
      </c>
      <c r="F169" t="str">
        <f>+TRIM(B169)</f>
        <v>Atlas Elevator Co</v>
      </c>
      <c r="G169" t="str" cm="1">
        <f t="array" ref="G169">_xlfn.IFS(
  ISNUMBER(SEARCH("Core", C169)), "Core Platform",
  ISNUMBER(SEARCH("Analytics", C169)), "Analytics",
  ISNUMBER(SEARCH("Automation", C169)), "Automation"
)</f>
        <v>Analytics</v>
      </c>
    </row>
    <row r="170" spans="1:7" x14ac:dyDescent="0.35">
      <c r="A170" t="s">
        <v>33</v>
      </c>
      <c r="B170" t="s">
        <v>34</v>
      </c>
      <c r="C170" t="s">
        <v>50</v>
      </c>
      <c r="D170" s="1">
        <v>45962</v>
      </c>
      <c r="E170" s="3">
        <v>11000</v>
      </c>
      <c r="F170" t="str">
        <f>+TRIM(B170)</f>
        <v>Sandstone Roofing</v>
      </c>
      <c r="G170" t="str" cm="1">
        <f t="array" ref="G170">_xlfn.IFS(
  ISNUMBER(SEARCH("Core", C170)), "Core Platform",
  ISNUMBER(SEARCH("Analytics", C170)), "Analytics",
  ISNUMBER(SEARCH("Automation", C170)), "Automation"
)</f>
        <v>Automation</v>
      </c>
    </row>
    <row r="171" spans="1:7" x14ac:dyDescent="0.35">
      <c r="A171" t="s">
        <v>22</v>
      </c>
      <c r="B171" t="s">
        <v>23</v>
      </c>
      <c r="C171" t="s">
        <v>7</v>
      </c>
      <c r="D171" s="1">
        <v>45901</v>
      </c>
      <c r="E171" s="3">
        <v>15000</v>
      </c>
      <c r="F171" t="str">
        <f>+TRIM(B171)</f>
        <v>Ridgeline HVAC</v>
      </c>
      <c r="G171" t="str" cm="1">
        <f t="array" ref="G171">_xlfn.IFS(
  ISNUMBER(SEARCH("Core", C171)), "Core Platform",
  ISNUMBER(SEARCH("Analytics", C171)), "Analytics",
  ISNUMBER(SEARCH("Automation", C171)), "Automation"
)</f>
        <v>Analytics</v>
      </c>
    </row>
    <row r="172" spans="1:7" x14ac:dyDescent="0.35">
      <c r="A172" t="s">
        <v>41</v>
      </c>
      <c r="B172" t="s">
        <v>42</v>
      </c>
      <c r="C172" t="s">
        <v>28</v>
      </c>
      <c r="D172" s="1">
        <v>45689</v>
      </c>
      <c r="E172" s="3">
        <v>102000</v>
      </c>
      <c r="F172" t="str">
        <f>+TRIM(B172)</f>
        <v>Delta Refrigeration</v>
      </c>
      <c r="G172" t="str" cm="1">
        <f t="array" ref="G172">_xlfn.IFS(
  ISNUMBER(SEARCH("Core", C172)), "Core Platform",
  ISNUMBER(SEARCH("Analytics", C172)), "Analytics",
  ISNUMBER(SEARCH("Automation", C172)), "Automation"
)</f>
        <v>Core Platform</v>
      </c>
    </row>
    <row r="173" spans="1:7" x14ac:dyDescent="0.35">
      <c r="A173" t="s">
        <v>35</v>
      </c>
      <c r="B173" t="s">
        <v>36</v>
      </c>
      <c r="C173" t="s">
        <v>16</v>
      </c>
      <c r="D173" s="1">
        <v>45931</v>
      </c>
      <c r="E173" s="3">
        <v>33000</v>
      </c>
      <c r="F173" t="str">
        <f>+TRIM(B173)</f>
        <v>Halcyon Pharma</v>
      </c>
      <c r="G173" t="str" cm="1">
        <f t="array" ref="G173">_xlfn.IFS(
  ISNUMBER(SEARCH("Core", C173)), "Core Platform",
  ISNUMBER(SEARCH("Analytics", C173)), "Analytics",
  ISNUMBER(SEARCH("Automation", C173)), "Automation"
)</f>
        <v>Core Platform</v>
      </c>
    </row>
    <row r="174" spans="1:7" x14ac:dyDescent="0.35">
      <c r="A174" t="s">
        <v>29</v>
      </c>
      <c r="B174" t="s">
        <v>46</v>
      </c>
      <c r="C174" t="s">
        <v>65</v>
      </c>
      <c r="D174" s="1">
        <v>45658</v>
      </c>
      <c r="E174" s="3">
        <v>36000</v>
      </c>
      <c r="F174" t="str">
        <f>+TRIM(B174)</f>
        <v>Atlas Elevator Co</v>
      </c>
      <c r="G174" t="str" cm="1">
        <f t="array" ref="G174">_xlfn.IFS(
  ISNUMBER(SEARCH("Core", C174)), "Core Platform",
  ISNUMBER(SEARCH("Analytics", C174)), "Analytics",
  ISNUMBER(SEARCH("Automation", C174)), "Automation"
)</f>
        <v>Analytics</v>
      </c>
    </row>
    <row r="175" spans="1:7" x14ac:dyDescent="0.35">
      <c r="A175" t="s">
        <v>11</v>
      </c>
      <c r="B175" t="s">
        <v>59</v>
      </c>
      <c r="C175" t="s">
        <v>21</v>
      </c>
      <c r="D175" s="1">
        <v>45658</v>
      </c>
      <c r="E175" s="3">
        <v>24000</v>
      </c>
      <c r="F175" t="str">
        <f>+TRIM(B175)</f>
        <v>Pinecrest Property</v>
      </c>
      <c r="G175" t="str" cm="1">
        <f t="array" ref="G175">_xlfn.IFS(
  ISNUMBER(SEARCH("Core", C175)), "Core Platform",
  ISNUMBER(SEARCH("Analytics", C175)), "Analytics",
  ISNUMBER(SEARCH("Automation", C175)), "Automation"
)</f>
        <v>Automation</v>
      </c>
    </row>
    <row r="176" spans="1:7" x14ac:dyDescent="0.35">
      <c r="A176" t="s">
        <v>24</v>
      </c>
      <c r="B176" t="s">
        <v>45</v>
      </c>
      <c r="C176" t="s">
        <v>21</v>
      </c>
      <c r="D176" s="1">
        <v>45809</v>
      </c>
      <c r="E176" s="3">
        <v>22000</v>
      </c>
      <c r="F176" t="str">
        <f>+TRIM(B176)</f>
        <v>Kestrel Telecom</v>
      </c>
      <c r="G176" t="str" cm="1">
        <f t="array" ref="G176">_xlfn.IFS(
  ISNUMBER(SEARCH("Core", C176)), "Core Platform",
  ISNUMBER(SEARCH("Analytics", C176)), "Analytics",
  ISNUMBER(SEARCH("Automation", C176)), "Automation"
)</f>
        <v>Automation</v>
      </c>
    </row>
    <row r="177" spans="1:7" x14ac:dyDescent="0.35">
      <c r="A177" t="s">
        <v>41</v>
      </c>
      <c r="B177" t="s">
        <v>42</v>
      </c>
      <c r="C177" t="s">
        <v>65</v>
      </c>
      <c r="D177" s="1">
        <v>45778</v>
      </c>
      <c r="E177" s="3">
        <v>17000</v>
      </c>
      <c r="F177" t="str">
        <f>+TRIM(B177)</f>
        <v>Delta Refrigeration</v>
      </c>
      <c r="G177" t="str" cm="1">
        <f t="array" ref="G177">_xlfn.IFS(
  ISNUMBER(SEARCH("Core", C177)), "Core Platform",
  ISNUMBER(SEARCH("Analytics", C177)), "Analytics",
  ISNUMBER(SEARCH("Automation", C177)), "Automation"
)</f>
        <v>Analytics</v>
      </c>
    </row>
    <row r="178" spans="1:7" x14ac:dyDescent="0.35">
      <c r="A178" t="s">
        <v>8</v>
      </c>
      <c r="B178" t="s">
        <v>9</v>
      </c>
      <c r="C178" t="s">
        <v>10</v>
      </c>
      <c r="D178" s="1">
        <v>45839</v>
      </c>
      <c r="E178" s="3">
        <v>35000</v>
      </c>
      <c r="F178" t="str">
        <f>+TRIM(B178)</f>
        <v>Cobalt Networks</v>
      </c>
      <c r="G178" t="str" cm="1">
        <f t="array" ref="G178">_xlfn.IFS(
  ISNUMBER(SEARCH("Core", C178)), "Core Platform",
  ISNUMBER(SEARCH("Analytics", C178)), "Analytics",
  ISNUMBER(SEARCH("Automation", C178)), "Automation"
)</f>
        <v>Analytics</v>
      </c>
    </row>
    <row r="179" spans="1:7" x14ac:dyDescent="0.35">
      <c r="A179" t="s">
        <v>60</v>
      </c>
      <c r="B179" t="s">
        <v>61</v>
      </c>
      <c r="C179" t="s">
        <v>65</v>
      </c>
      <c r="D179" s="1">
        <v>45901</v>
      </c>
      <c r="E179" s="3">
        <v>23000</v>
      </c>
      <c r="F179" t="str">
        <f>+TRIM(B179)</f>
        <v>Redwood Field Services</v>
      </c>
      <c r="G179" t="str" cm="1">
        <f t="array" ref="G179">_xlfn.IFS(
  ISNUMBER(SEARCH("Core", C179)), "Core Platform",
  ISNUMBER(SEARCH("Analytics", C179)), "Analytics",
  ISNUMBER(SEARCH("Automation", C179)), "Automation"
)</f>
        <v>Analytics</v>
      </c>
    </row>
    <row r="180" spans="1:7" x14ac:dyDescent="0.35">
      <c r="A180" t="s">
        <v>70</v>
      </c>
      <c r="B180" t="s">
        <v>71</v>
      </c>
      <c r="C180" t="s">
        <v>16</v>
      </c>
      <c r="D180" s="1">
        <v>45778</v>
      </c>
      <c r="E180" s="3">
        <v>85000</v>
      </c>
      <c r="F180" t="str">
        <f>+TRIM(B180)</f>
        <v>Vertex Manufacturing</v>
      </c>
      <c r="G180" t="str" cm="1">
        <f t="array" ref="G180">_xlfn.IFS(
  ISNUMBER(SEARCH("Core", C180)), "Core Platform",
  ISNUMBER(SEARCH("Analytics", C180)), "Analytics",
  ISNUMBER(SEARCH("Automation", C180)), "Automation"
)</f>
        <v>Core Platform</v>
      </c>
    </row>
    <row r="181" spans="1:7" x14ac:dyDescent="0.35">
      <c r="A181" t="s">
        <v>57</v>
      </c>
      <c r="B181" t="s">
        <v>58</v>
      </c>
      <c r="C181" t="s">
        <v>10</v>
      </c>
      <c r="D181" s="1">
        <v>45962</v>
      </c>
      <c r="E181" s="3">
        <v>18000</v>
      </c>
      <c r="F181" t="str">
        <f>+TRIM(B181)</f>
        <v>Everest Drilling</v>
      </c>
      <c r="G181" t="str" cm="1">
        <f t="array" ref="G181">_xlfn.IFS(
  ISNUMBER(SEARCH("Core", C181)), "Core Platform",
  ISNUMBER(SEARCH("Analytics", C181)), "Analytics",
  ISNUMBER(SEARCH("Automation", C181)), "Automation"
)</f>
        <v>Analytics</v>
      </c>
    </row>
    <row r="182" spans="1:7" x14ac:dyDescent="0.35">
      <c r="A182" t="s">
        <v>11</v>
      </c>
      <c r="B182" t="s">
        <v>59</v>
      </c>
      <c r="C182" t="s">
        <v>7</v>
      </c>
      <c r="D182" s="1">
        <v>45839</v>
      </c>
      <c r="E182" s="3">
        <v>39000</v>
      </c>
      <c r="F182" t="str">
        <f>+TRIM(B182)</f>
        <v>Pinecrest Property</v>
      </c>
      <c r="G182" t="str" cm="1">
        <f t="array" ref="G182">_xlfn.IFS(
  ISNUMBER(SEARCH("Core", C182)), "Core Platform",
  ISNUMBER(SEARCH("Analytics", C182)), "Analytics",
  ISNUMBER(SEARCH("Automation", C182)), "Automation"
)</f>
        <v>Analytics</v>
      </c>
    </row>
    <row r="183" spans="1:7" x14ac:dyDescent="0.35">
      <c r="A183" t="s">
        <v>43</v>
      </c>
      <c r="B183" t="s">
        <v>44</v>
      </c>
      <c r="C183" t="s">
        <v>13</v>
      </c>
      <c r="D183" s="1">
        <v>45839</v>
      </c>
      <c r="E183" s="3">
        <v>27000</v>
      </c>
      <c r="F183" t="str">
        <f>+TRIM(B183)</f>
        <v>Harborview Plumbing</v>
      </c>
      <c r="G183" t="str" cm="1">
        <f t="array" ref="G183">_xlfn.IFS(
  ISNUMBER(SEARCH("Core", C183)), "Core Platform",
  ISNUMBER(SEARCH("Analytics", C183)), "Analytics",
  ISNUMBER(SEARCH("Automation", C183)), "Automation"
)</f>
        <v>Automation</v>
      </c>
    </row>
    <row r="184" spans="1:7" x14ac:dyDescent="0.35">
      <c r="A184" t="s">
        <v>29</v>
      </c>
      <c r="B184" t="s">
        <v>46</v>
      </c>
      <c r="C184" t="s">
        <v>28</v>
      </c>
      <c r="D184" s="1">
        <v>45870</v>
      </c>
      <c r="E184" s="3">
        <v>60000</v>
      </c>
      <c r="F184" t="str">
        <f>+TRIM(B184)</f>
        <v>Atlas Elevator Co</v>
      </c>
      <c r="G184" t="str" cm="1">
        <f t="array" ref="G184">_xlfn.IFS(
  ISNUMBER(SEARCH("Core", C184)), "Core Platform",
  ISNUMBER(SEARCH("Analytics", C184)), "Analytics",
  ISNUMBER(SEARCH("Automation", C184)), "Automation"
)</f>
        <v>Core Platform</v>
      </c>
    </row>
    <row r="185" spans="1:7" x14ac:dyDescent="0.35">
      <c r="A185" t="s">
        <v>37</v>
      </c>
      <c r="B185" t="s">
        <v>97</v>
      </c>
      <c r="C185" t="s">
        <v>28</v>
      </c>
      <c r="D185" s="1">
        <v>45870</v>
      </c>
      <c r="E185" s="3">
        <v>88000</v>
      </c>
      <c r="F185" t="str">
        <f>+TRIM(B185)</f>
        <v>Fairwind Marine</v>
      </c>
      <c r="G185" t="str" cm="1">
        <f t="array" ref="G185">_xlfn.IFS(
  ISNUMBER(SEARCH("Core", C185)), "Core Platform",
  ISNUMBER(SEARCH("Analytics", C185)), "Analytics",
  ISNUMBER(SEARCH("Automation", C185)), "Automation"
)</f>
        <v>Core Platform</v>
      </c>
    </row>
    <row r="186" spans="1:7" x14ac:dyDescent="0.35">
      <c r="A186" t="s">
        <v>70</v>
      </c>
      <c r="B186" t="s">
        <v>71</v>
      </c>
      <c r="C186" t="s">
        <v>28</v>
      </c>
      <c r="D186" s="1">
        <v>45962</v>
      </c>
      <c r="E186" s="3">
        <v>85000</v>
      </c>
      <c r="F186" t="str">
        <f>+TRIM(B186)</f>
        <v>Vertex Manufacturing</v>
      </c>
      <c r="G186" t="str" cm="1">
        <f t="array" ref="G186">_xlfn.IFS(
  ISNUMBER(SEARCH("Core", C186)), "Core Platform",
  ISNUMBER(SEARCH("Analytics", C186)), "Analytics",
  ISNUMBER(SEARCH("Automation", C186)), "Automation"
)</f>
        <v>Core Platform</v>
      </c>
    </row>
    <row r="187" spans="1:7" x14ac:dyDescent="0.35">
      <c r="A187" t="s">
        <v>41</v>
      </c>
      <c r="B187" t="s">
        <v>42</v>
      </c>
      <c r="C187" t="s">
        <v>28</v>
      </c>
      <c r="D187" s="1">
        <v>45931</v>
      </c>
      <c r="E187" s="3">
        <v>102000</v>
      </c>
      <c r="F187" t="str">
        <f>+TRIM(B187)</f>
        <v>Delta Refrigeration</v>
      </c>
      <c r="G187" t="str" cm="1">
        <f t="array" ref="G187">_xlfn.IFS(
  ISNUMBER(SEARCH("Core", C187)), "Core Platform",
  ISNUMBER(SEARCH("Analytics", C187)), "Analytics",
  ISNUMBER(SEARCH("Automation", C187)), "Automation"
)</f>
        <v>Core Platform</v>
      </c>
    </row>
    <row r="188" spans="1:7" x14ac:dyDescent="0.35">
      <c r="A188" t="s">
        <v>91</v>
      </c>
      <c r="B188" t="s">
        <v>92</v>
      </c>
      <c r="C188" t="s">
        <v>16</v>
      </c>
      <c r="D188" s="1">
        <v>45931</v>
      </c>
      <c r="E188" s="3">
        <v>116000</v>
      </c>
      <c r="F188" t="str">
        <f>+TRIM(B188)</f>
        <v>Trailhead Equipment</v>
      </c>
      <c r="G188" t="str" cm="1">
        <f t="array" ref="G188">_xlfn.IFS(
  ISNUMBER(SEARCH("Core", C188)), "Core Platform",
  ISNUMBER(SEARCH("Analytics", C188)), "Analytics",
  ISNUMBER(SEARCH("Automation", C188)), "Automation"
)</f>
        <v>Core Platform</v>
      </c>
    </row>
    <row r="189" spans="1:7" x14ac:dyDescent="0.35">
      <c r="A189" t="s">
        <v>87</v>
      </c>
      <c r="B189" t="s">
        <v>88</v>
      </c>
      <c r="C189" t="s">
        <v>16</v>
      </c>
      <c r="D189" s="1">
        <v>45901</v>
      </c>
      <c r="E189" s="3">
        <v>73000</v>
      </c>
      <c r="F189" t="str">
        <f>+TRIM(B189)</f>
        <v>Brightway Solar</v>
      </c>
      <c r="G189" t="str" cm="1">
        <f t="array" ref="G189">_xlfn.IFS(
  ISNUMBER(SEARCH("Core", C189)), "Core Platform",
  ISNUMBER(SEARCH("Analytics", C189)), "Analytics",
  ISNUMBER(SEARCH("Automation", C189)), "Automation"
)</f>
        <v>Core Platform</v>
      </c>
    </row>
    <row r="190" spans="1:7" x14ac:dyDescent="0.35">
      <c r="A190" t="s">
        <v>43</v>
      </c>
      <c r="B190" t="s">
        <v>44</v>
      </c>
      <c r="C190" t="s">
        <v>21</v>
      </c>
      <c r="D190" s="1">
        <v>45689</v>
      </c>
      <c r="E190" s="3">
        <v>27000</v>
      </c>
      <c r="F190" t="str">
        <f>+TRIM(B190)</f>
        <v>Harborview Plumbing</v>
      </c>
      <c r="G190" t="str" cm="1">
        <f t="array" ref="G190">_xlfn.IFS(
  ISNUMBER(SEARCH("Core", C190)), "Core Platform",
  ISNUMBER(SEARCH("Analytics", C190)), "Analytics",
  ISNUMBER(SEARCH("Automation", C190)), "Automation"
)</f>
        <v>Automation</v>
      </c>
    </row>
    <row r="191" spans="1:7" x14ac:dyDescent="0.35">
      <c r="A191" t="s">
        <v>60</v>
      </c>
      <c r="B191" t="s">
        <v>61</v>
      </c>
      <c r="C191" t="s">
        <v>16</v>
      </c>
      <c r="D191" s="1">
        <v>45717</v>
      </c>
      <c r="E191" s="3">
        <v>35000</v>
      </c>
      <c r="F191" t="str">
        <f>+TRIM(B191)</f>
        <v>Redwood Field Services</v>
      </c>
      <c r="G191" t="str" cm="1">
        <f t="array" ref="G191">_xlfn.IFS(
  ISNUMBER(SEARCH("Core", C191)), "Core Platform",
  ISNUMBER(SEARCH("Analytics", C191)), "Analytics",
  ISNUMBER(SEARCH("Automation", C191)), "Automation"
)</f>
        <v>Core Platform</v>
      </c>
    </row>
    <row r="192" spans="1:7" x14ac:dyDescent="0.35">
      <c r="A192" t="s">
        <v>91</v>
      </c>
      <c r="B192" t="s">
        <v>92</v>
      </c>
      <c r="C192" t="s">
        <v>16</v>
      </c>
      <c r="D192" s="1">
        <v>45901</v>
      </c>
      <c r="E192" s="3">
        <v>116000</v>
      </c>
      <c r="F192" t="str">
        <f>+TRIM(B192)</f>
        <v>Trailhead Equipment</v>
      </c>
      <c r="G192" t="str" cm="1">
        <f t="array" ref="G192">_xlfn.IFS(
  ISNUMBER(SEARCH("Core", C192)), "Core Platform",
  ISNUMBER(SEARCH("Analytics", C192)), "Analytics",
  ISNUMBER(SEARCH("Automation", C192)), "Automation"
)</f>
        <v>Core Platform</v>
      </c>
    </row>
    <row r="193" spans="1:7" x14ac:dyDescent="0.35">
      <c r="A193" t="s">
        <v>8</v>
      </c>
      <c r="B193" t="s">
        <v>9</v>
      </c>
      <c r="C193" t="s">
        <v>21</v>
      </c>
      <c r="D193" s="1">
        <v>45809</v>
      </c>
      <c r="E193" s="3">
        <v>17000</v>
      </c>
      <c r="F193" t="str">
        <f>+TRIM(B193)</f>
        <v>Cobalt Networks</v>
      </c>
      <c r="G193" t="str" cm="1">
        <f t="array" ref="G193">_xlfn.IFS(
  ISNUMBER(SEARCH("Core", C193)), "Core Platform",
  ISNUMBER(SEARCH("Analytics", C193)), "Analytics",
  ISNUMBER(SEARCH("Automation", C193)), "Automation"
)</f>
        <v>Automation</v>
      </c>
    </row>
    <row r="194" spans="1:7" x14ac:dyDescent="0.35">
      <c r="A194" t="s">
        <v>43</v>
      </c>
      <c r="B194" t="s">
        <v>44</v>
      </c>
      <c r="C194" t="s">
        <v>7</v>
      </c>
      <c r="D194" s="1">
        <v>45658</v>
      </c>
      <c r="E194" s="3">
        <v>18000</v>
      </c>
      <c r="F194" t="str">
        <f>+TRIM(B194)</f>
        <v>Harborview Plumbing</v>
      </c>
      <c r="G194" t="str" cm="1">
        <f t="array" ref="G194">_xlfn.IFS(
  ISNUMBER(SEARCH("Core", C194)), "Core Platform",
  ISNUMBER(SEARCH("Analytics", C194)), "Analytics",
  ISNUMBER(SEARCH("Automation", C194)), "Automation"
)</f>
        <v>Analytics</v>
      </c>
    </row>
    <row r="195" spans="1:7" x14ac:dyDescent="0.35">
      <c r="A195" t="s">
        <v>5</v>
      </c>
      <c r="B195" t="s">
        <v>6</v>
      </c>
      <c r="C195" t="s">
        <v>28</v>
      </c>
      <c r="D195" s="1">
        <v>45992</v>
      </c>
      <c r="E195" s="3">
        <v>97000</v>
      </c>
      <c r="F195" t="str">
        <f>+TRIM(B195)</f>
        <v>Meridian Water Group</v>
      </c>
      <c r="G195" t="str" cm="1">
        <f t="array" ref="G195">_xlfn.IFS(
  ISNUMBER(SEARCH("Core", C195)), "Core Platform",
  ISNUMBER(SEARCH("Analytics", C195)), "Analytics",
  ISNUMBER(SEARCH("Automation", C195)), "Automation"
)</f>
        <v>Core Platform</v>
      </c>
    </row>
    <row r="196" spans="1:7" x14ac:dyDescent="0.35">
      <c r="A196" t="s">
        <v>70</v>
      </c>
      <c r="B196" t="s">
        <v>71</v>
      </c>
      <c r="C196" t="s">
        <v>7</v>
      </c>
      <c r="D196" s="1">
        <v>45901</v>
      </c>
      <c r="E196" s="3">
        <v>27000</v>
      </c>
      <c r="F196" t="str">
        <f>+TRIM(B196)</f>
        <v>Vertex Manufacturing</v>
      </c>
      <c r="G196" t="str" cm="1">
        <f t="array" ref="G196">_xlfn.IFS(
  ISNUMBER(SEARCH("Core", C196)), "Core Platform",
  ISNUMBER(SEARCH("Analytics", C196)), "Analytics",
  ISNUMBER(SEARCH("Automation", C196)), "Automation"
)</f>
        <v>Analytics</v>
      </c>
    </row>
    <row r="197" spans="1:7" x14ac:dyDescent="0.35">
      <c r="A197" t="s">
        <v>5</v>
      </c>
      <c r="B197" t="s">
        <v>6</v>
      </c>
      <c r="C197" t="s">
        <v>16</v>
      </c>
      <c r="D197" s="1">
        <v>45658</v>
      </c>
      <c r="E197" s="3">
        <v>85000</v>
      </c>
      <c r="F197" t="str">
        <f>+TRIM(B197)</f>
        <v>Meridian Water Group</v>
      </c>
      <c r="G197" t="str" cm="1">
        <f t="array" ref="G197">_xlfn.IFS(
  ISNUMBER(SEARCH("Core", C197)), "Core Platform",
  ISNUMBER(SEARCH("Analytics", C197)), "Analytics",
  ISNUMBER(SEARCH("Automation", C197)), "Automation"
)</f>
        <v>Core Platform</v>
      </c>
    </row>
    <row r="198" spans="1:7" x14ac:dyDescent="0.35">
      <c r="A198" t="s">
        <v>43</v>
      </c>
      <c r="B198" t="s">
        <v>44</v>
      </c>
      <c r="C198" t="s">
        <v>50</v>
      </c>
      <c r="D198" s="1">
        <v>45870</v>
      </c>
      <c r="E198" s="3">
        <v>27000</v>
      </c>
      <c r="F198" t="str">
        <f>+TRIM(B198)</f>
        <v>Harborview Plumbing</v>
      </c>
      <c r="G198" t="str" cm="1">
        <f t="array" ref="G198">_xlfn.IFS(
  ISNUMBER(SEARCH("Core", C198)), "Core Platform",
  ISNUMBER(SEARCH("Analytics", C198)), "Analytics",
  ISNUMBER(SEARCH("Automation", C198)), "Automation"
)</f>
        <v>Automation</v>
      </c>
    </row>
    <row r="199" spans="1:7" x14ac:dyDescent="0.35">
      <c r="A199" t="s">
        <v>24</v>
      </c>
      <c r="B199" t="s">
        <v>45</v>
      </c>
      <c r="C199" t="s">
        <v>16</v>
      </c>
      <c r="D199" s="1">
        <v>45778</v>
      </c>
      <c r="E199" s="3">
        <v>100000</v>
      </c>
      <c r="F199" t="str">
        <f>+TRIM(B199)</f>
        <v>Kestrel Telecom</v>
      </c>
      <c r="G199" t="str" cm="1">
        <f t="array" ref="G199">_xlfn.IFS(
  ISNUMBER(SEARCH("Core", C199)), "Core Platform",
  ISNUMBER(SEARCH("Analytics", C199)), "Analytics",
  ISNUMBER(SEARCH("Automation", C199)), "Automation"
)</f>
        <v>Core Platform</v>
      </c>
    </row>
    <row r="200" spans="1:7" x14ac:dyDescent="0.35">
      <c r="A200" t="s">
        <v>39</v>
      </c>
      <c r="B200" t="s">
        <v>40</v>
      </c>
      <c r="C200" t="s">
        <v>21</v>
      </c>
      <c r="D200" s="1">
        <v>45839</v>
      </c>
      <c r="E200" s="3">
        <v>19000</v>
      </c>
      <c r="F200" t="str">
        <f>+TRIM(B200)</f>
        <v>Foundry Industrial</v>
      </c>
      <c r="G200" t="str" cm="1">
        <f t="array" ref="G200">_xlfn.IFS(
  ISNUMBER(SEARCH("Core", C200)), "Core Platform",
  ISNUMBER(SEARCH("Analytics", C200)), "Analytics",
  ISNUMBER(SEARCH("Automation", C200)), "Automation"
)</f>
        <v>Automation</v>
      </c>
    </row>
    <row r="201" spans="1:7" x14ac:dyDescent="0.35">
      <c r="A201" t="s">
        <v>5</v>
      </c>
      <c r="B201" t="s">
        <v>6</v>
      </c>
      <c r="C201" t="s">
        <v>21</v>
      </c>
      <c r="D201" s="1">
        <v>45717</v>
      </c>
      <c r="E201" s="3">
        <v>19000</v>
      </c>
      <c r="F201" t="str">
        <f>+TRIM(B201)</f>
        <v>Meridian Water Group</v>
      </c>
      <c r="G201" t="str" cm="1">
        <f t="array" ref="G201">_xlfn.IFS(
  ISNUMBER(SEARCH("Core", C201)), "Core Platform",
  ISNUMBER(SEARCH("Analytics", C201)), "Analytics",
  ISNUMBER(SEARCH("Automation", C201)), "Automation"
)</f>
        <v>Automation</v>
      </c>
    </row>
    <row r="202" spans="1:7" x14ac:dyDescent="0.35">
      <c r="A202" t="s">
        <v>11</v>
      </c>
      <c r="B202" t="s">
        <v>59</v>
      </c>
      <c r="C202" t="s">
        <v>28</v>
      </c>
      <c r="D202" s="1">
        <v>45778</v>
      </c>
      <c r="E202" s="3">
        <v>118000</v>
      </c>
      <c r="F202" t="str">
        <f>+TRIM(B202)</f>
        <v>Pinecrest Property</v>
      </c>
      <c r="G202" t="str" cm="1">
        <f t="array" ref="G202">_xlfn.IFS(
  ISNUMBER(SEARCH("Core", C202)), "Core Platform",
  ISNUMBER(SEARCH("Analytics", C202)), "Analytics",
  ISNUMBER(SEARCH("Automation", C202)), "Automation"
)</f>
        <v>Core Platform</v>
      </c>
    </row>
    <row r="203" spans="1:7" x14ac:dyDescent="0.35">
      <c r="A203" t="s">
        <v>8</v>
      </c>
      <c r="B203" t="s">
        <v>9</v>
      </c>
      <c r="C203" t="s">
        <v>28</v>
      </c>
      <c r="D203" s="1">
        <v>45992</v>
      </c>
      <c r="E203" s="3">
        <v>70000</v>
      </c>
      <c r="F203" t="str">
        <f>+TRIM(B203)</f>
        <v>Cobalt Networks</v>
      </c>
      <c r="G203" t="str" cm="1">
        <f t="array" ref="G203">_xlfn.IFS(
  ISNUMBER(SEARCH("Core", C203)), "Core Platform",
  ISNUMBER(SEARCH("Analytics", C203)), "Analytics",
  ISNUMBER(SEARCH("Automation", C203)), "Automation"
)</f>
        <v>Core Platform</v>
      </c>
    </row>
    <row r="204" spans="1:7" x14ac:dyDescent="0.35">
      <c r="A204" t="s">
        <v>26</v>
      </c>
      <c r="B204" t="s">
        <v>27</v>
      </c>
      <c r="C204" t="s">
        <v>21</v>
      </c>
      <c r="D204" s="1">
        <v>45992</v>
      </c>
      <c r="E204" s="3">
        <v>10000</v>
      </c>
      <c r="F204" t="str">
        <f>+TRIM(B204)</f>
        <v>Blue Harbor Logistics</v>
      </c>
      <c r="G204" t="str" cm="1">
        <f t="array" ref="G204">_xlfn.IFS(
  ISNUMBER(SEARCH("Core", C204)), "Core Platform",
  ISNUMBER(SEARCH("Analytics", C204)), "Analytics",
  ISNUMBER(SEARCH("Automation", C204)), "Automation"
)</f>
        <v>Automation</v>
      </c>
    </row>
    <row r="205" spans="1:7" x14ac:dyDescent="0.35">
      <c r="A205" t="s">
        <v>17</v>
      </c>
      <c r="B205" t="s">
        <v>18</v>
      </c>
      <c r="C205" t="s">
        <v>50</v>
      </c>
      <c r="D205" s="1">
        <v>45658</v>
      </c>
      <c r="E205" s="3">
        <v>8000</v>
      </c>
      <c r="F205" t="str">
        <f>+TRIM(B205)</f>
        <v>Ironclad Security</v>
      </c>
      <c r="G205" t="str" cm="1">
        <f t="array" ref="G205">_xlfn.IFS(
  ISNUMBER(SEARCH("Core", C205)), "Core Platform",
  ISNUMBER(SEARCH("Analytics", C205)), "Analytics",
  ISNUMBER(SEARCH("Automation", C205)), "Automation"
)</f>
        <v>Automation</v>
      </c>
    </row>
    <row r="206" spans="1:7" x14ac:dyDescent="0.35">
      <c r="A206" t="s">
        <v>17</v>
      </c>
      <c r="B206" t="s">
        <v>18</v>
      </c>
      <c r="C206" t="s">
        <v>28</v>
      </c>
      <c r="D206" s="1">
        <v>45717</v>
      </c>
      <c r="E206" s="3">
        <v>90000</v>
      </c>
      <c r="F206" t="str">
        <f>+TRIM(B206)</f>
        <v>Ironclad Security</v>
      </c>
      <c r="G206" t="str" cm="1">
        <f t="array" ref="G206">_xlfn.IFS(
  ISNUMBER(SEARCH("Core", C206)), "Core Platform",
  ISNUMBER(SEARCH("Analytics", C206)), "Analytics",
  ISNUMBER(SEARCH("Automation", C206)), "Automation"
)</f>
        <v>Core Platform</v>
      </c>
    </row>
    <row r="207" spans="1:7" x14ac:dyDescent="0.35">
      <c r="A207" t="s">
        <v>53</v>
      </c>
      <c r="B207" t="s">
        <v>54</v>
      </c>
      <c r="C207" t="s">
        <v>28</v>
      </c>
      <c r="D207" s="1">
        <v>45901</v>
      </c>
      <c r="E207" s="3">
        <v>73000</v>
      </c>
      <c r="F207" t="str">
        <f>+TRIM(B207)</f>
        <v>Maple Grove Maintenance</v>
      </c>
      <c r="G207" t="str" cm="1">
        <f t="array" ref="G207">_xlfn.IFS(
  ISNUMBER(SEARCH("Core", C207)), "Core Platform",
  ISNUMBER(SEARCH("Analytics", C207)), "Analytics",
  ISNUMBER(SEARCH("Automation", C207)), "Automation"
)</f>
        <v>Core Platform</v>
      </c>
    </row>
    <row r="208" spans="1:7" x14ac:dyDescent="0.35">
      <c r="A208" t="s">
        <v>48</v>
      </c>
      <c r="B208" t="s">
        <v>49</v>
      </c>
      <c r="C208" t="s">
        <v>7</v>
      </c>
      <c r="D208" s="1">
        <v>45748</v>
      </c>
      <c r="E208" s="3">
        <v>26000</v>
      </c>
      <c r="F208" t="str">
        <f>+TRIM(B208)</f>
        <v>Lakeside Energy</v>
      </c>
      <c r="G208" t="str" cm="1">
        <f t="array" ref="G208">_xlfn.IFS(
  ISNUMBER(SEARCH("Core", C208)), "Core Platform",
  ISNUMBER(SEARCH("Analytics", C208)), "Analytics",
  ISNUMBER(SEARCH("Automation", C208)), "Automation"
)</f>
        <v>Analytics</v>
      </c>
    </row>
    <row r="209" spans="1:7" x14ac:dyDescent="0.35">
      <c r="A209" t="s">
        <v>5</v>
      </c>
      <c r="B209" t="s">
        <v>6</v>
      </c>
      <c r="C209" t="s">
        <v>10</v>
      </c>
      <c r="D209" s="1">
        <v>45778</v>
      </c>
      <c r="E209" s="3">
        <v>24000</v>
      </c>
      <c r="F209" t="str">
        <f>+TRIM(B209)</f>
        <v>Meridian Water Group</v>
      </c>
      <c r="G209" t="str" cm="1">
        <f t="array" ref="G209">_xlfn.IFS(
  ISNUMBER(SEARCH("Core", C209)), "Core Platform",
  ISNUMBER(SEARCH("Analytics", C209)), "Analytics",
  ISNUMBER(SEARCH("Automation", C209)), "Automation"
)</f>
        <v>Analytics</v>
      </c>
    </row>
    <row r="210" spans="1:7" x14ac:dyDescent="0.35">
      <c r="A210" t="s">
        <v>60</v>
      </c>
      <c r="B210" t="s">
        <v>61</v>
      </c>
      <c r="C210" t="s">
        <v>21</v>
      </c>
      <c r="D210" s="1">
        <v>45962</v>
      </c>
      <c r="E210" s="3">
        <v>18000</v>
      </c>
      <c r="F210" t="str">
        <f>+TRIM(B210)</f>
        <v>Redwood Field Services</v>
      </c>
      <c r="G210" t="str" cm="1">
        <f t="array" ref="G210">_xlfn.IFS(
  ISNUMBER(SEARCH("Core", C210)), "Core Platform",
  ISNUMBER(SEARCH("Analytics", C210)), "Analytics",
  ISNUMBER(SEARCH("Automation", C210)), "Automation"
)</f>
        <v>Automation</v>
      </c>
    </row>
    <row r="211" spans="1:7" x14ac:dyDescent="0.35">
      <c r="A211" t="s">
        <v>43</v>
      </c>
      <c r="B211" t="s">
        <v>44</v>
      </c>
      <c r="C211" t="s">
        <v>13</v>
      </c>
      <c r="D211" s="1">
        <v>45658</v>
      </c>
      <c r="E211" s="3">
        <v>27000</v>
      </c>
      <c r="F211" t="str">
        <f>+TRIM(B211)</f>
        <v>Harborview Plumbing</v>
      </c>
      <c r="G211" t="str" cm="1">
        <f t="array" ref="G211">_xlfn.IFS(
  ISNUMBER(SEARCH("Core", C211)), "Core Platform",
  ISNUMBER(SEARCH("Analytics", C211)), "Analytics",
  ISNUMBER(SEARCH("Automation", C211)), "Automation"
)</f>
        <v>Automation</v>
      </c>
    </row>
    <row r="212" spans="1:7" x14ac:dyDescent="0.35">
      <c r="A212" t="s">
        <v>62</v>
      </c>
      <c r="B212" t="s">
        <v>63</v>
      </c>
      <c r="C212" t="s">
        <v>28</v>
      </c>
      <c r="D212" s="1">
        <v>45809</v>
      </c>
      <c r="E212" s="3">
        <v>46000</v>
      </c>
      <c r="F212" t="str">
        <f>+TRIM(B212)</f>
        <v>Copperfield Electrical</v>
      </c>
      <c r="G212" t="str" cm="1">
        <f t="array" ref="G212">_xlfn.IFS(
  ISNUMBER(SEARCH("Core", C212)), "Core Platform",
  ISNUMBER(SEARCH("Analytics", C212)), "Analytics",
  ISNUMBER(SEARCH("Automation", C212)), "Automation"
)</f>
        <v>Core Platform</v>
      </c>
    </row>
    <row r="213" spans="1:7" x14ac:dyDescent="0.35">
      <c r="A213" t="s">
        <v>60</v>
      </c>
      <c r="B213" t="s">
        <v>61</v>
      </c>
      <c r="C213" t="s">
        <v>16</v>
      </c>
      <c r="D213" s="1">
        <v>45931</v>
      </c>
      <c r="E213" s="3">
        <v>35000</v>
      </c>
      <c r="F213" t="str">
        <f>+TRIM(B213)</f>
        <v>Redwood Field Services</v>
      </c>
      <c r="G213" t="str" cm="1">
        <f t="array" ref="G213">_xlfn.IFS(
  ISNUMBER(SEARCH("Core", C213)), "Core Platform",
  ISNUMBER(SEARCH("Analytics", C213)), "Analytics",
  ISNUMBER(SEARCH("Automation", C213)), "Automation"
)</f>
        <v>Core Platform</v>
      </c>
    </row>
    <row r="214" spans="1:7" x14ac:dyDescent="0.35">
      <c r="A214" t="s">
        <v>43</v>
      </c>
      <c r="B214" t="s">
        <v>44</v>
      </c>
      <c r="C214" t="s">
        <v>65</v>
      </c>
      <c r="D214" s="1">
        <v>45717</v>
      </c>
      <c r="E214" s="3">
        <v>18000</v>
      </c>
      <c r="F214" t="str">
        <f>+TRIM(B214)</f>
        <v>Harborview Plumbing</v>
      </c>
      <c r="G214" t="str" cm="1">
        <f t="array" ref="G214">_xlfn.IFS(
  ISNUMBER(SEARCH("Core", C214)), "Core Platform",
  ISNUMBER(SEARCH("Analytics", C214)), "Analytics",
  ISNUMBER(SEARCH("Automation", C214)), "Automation"
)</f>
        <v>Analytics</v>
      </c>
    </row>
    <row r="215" spans="1:7" x14ac:dyDescent="0.35">
      <c r="A215" t="s">
        <v>26</v>
      </c>
      <c r="B215" t="s">
        <v>27</v>
      </c>
      <c r="C215" t="s">
        <v>21</v>
      </c>
      <c r="D215" s="1">
        <v>45931</v>
      </c>
      <c r="E215" s="3">
        <v>10000</v>
      </c>
      <c r="F215" t="str">
        <f>+TRIM(B215)</f>
        <v>Blue Harbor Logistics</v>
      </c>
      <c r="G215" t="str" cm="1">
        <f t="array" ref="G215">_xlfn.IFS(
  ISNUMBER(SEARCH("Core", C215)), "Core Platform",
  ISNUMBER(SEARCH("Analytics", C215)), "Analytics",
  ISNUMBER(SEARCH("Automation", C215)), "Automation"
)</f>
        <v>Automation</v>
      </c>
    </row>
    <row r="216" spans="1:7" x14ac:dyDescent="0.35">
      <c r="A216" t="s">
        <v>72</v>
      </c>
      <c r="B216" t="s">
        <v>73</v>
      </c>
      <c r="C216" t="s">
        <v>21</v>
      </c>
      <c r="D216" s="1">
        <v>45992</v>
      </c>
      <c r="E216" s="3">
        <v>16000</v>
      </c>
      <c r="F216" t="str">
        <f>+TRIM(B216)</f>
        <v>Northwind Trading</v>
      </c>
      <c r="G216" t="str" cm="1">
        <f t="array" ref="G216">_xlfn.IFS(
  ISNUMBER(SEARCH("Core", C216)), "Core Platform",
  ISNUMBER(SEARCH("Analytics", C216)), "Analytics",
  ISNUMBER(SEARCH("Automation", C216)), "Automation"
)</f>
        <v>Automation</v>
      </c>
    </row>
    <row r="217" spans="1:7" x14ac:dyDescent="0.35">
      <c r="A217" t="s">
        <v>43</v>
      </c>
      <c r="B217" t="s">
        <v>44</v>
      </c>
      <c r="C217" t="s">
        <v>21</v>
      </c>
      <c r="D217" s="1">
        <v>45748</v>
      </c>
      <c r="E217" s="3">
        <v>27000</v>
      </c>
      <c r="F217" t="str">
        <f>+TRIM(B217)</f>
        <v>Harborview Plumbing</v>
      </c>
      <c r="G217" t="str" cm="1">
        <f t="array" ref="G217">_xlfn.IFS(
  ISNUMBER(SEARCH("Core", C217)), "Core Platform",
  ISNUMBER(SEARCH("Analytics", C217)), "Analytics",
  ISNUMBER(SEARCH("Automation", C217)), "Automation"
)</f>
        <v>Automation</v>
      </c>
    </row>
    <row r="218" spans="1:7" x14ac:dyDescent="0.35">
      <c r="A218" t="s">
        <v>84</v>
      </c>
      <c r="B218" t="s">
        <v>85</v>
      </c>
      <c r="C218" t="s">
        <v>16</v>
      </c>
      <c r="D218" s="1">
        <v>45870</v>
      </c>
      <c r="E218" s="3">
        <v>44000</v>
      </c>
      <c r="F218" t="str">
        <f>+TRIM(B218)</f>
        <v>Timberline Landscaping</v>
      </c>
      <c r="G218" t="str" cm="1">
        <f t="array" ref="G218">_xlfn.IFS(
  ISNUMBER(SEARCH("Core", C218)), "Core Platform",
  ISNUMBER(SEARCH("Analytics", C218)), "Analytics",
  ISNUMBER(SEARCH("Automation", C218)), "Automation"
)</f>
        <v>Core Platform</v>
      </c>
    </row>
    <row r="219" spans="1:7" x14ac:dyDescent="0.35">
      <c r="A219" t="s">
        <v>72</v>
      </c>
      <c r="B219" t="s">
        <v>73</v>
      </c>
      <c r="C219" t="s">
        <v>28</v>
      </c>
      <c r="D219" s="1">
        <v>45717</v>
      </c>
      <c r="E219" s="3">
        <v>117000</v>
      </c>
      <c r="F219" t="str">
        <f>+TRIM(B219)</f>
        <v>Northwind Trading</v>
      </c>
      <c r="G219" t="str" cm="1">
        <f t="array" ref="G219">_xlfn.IFS(
  ISNUMBER(SEARCH("Core", C219)), "Core Platform",
  ISNUMBER(SEARCH("Analytics", C219)), "Analytics",
  ISNUMBER(SEARCH("Automation", C219)), "Automation"
)</f>
        <v>Core Platform</v>
      </c>
    </row>
    <row r="220" spans="1:7" x14ac:dyDescent="0.35">
      <c r="A220" t="s">
        <v>29</v>
      </c>
      <c r="B220" t="s">
        <v>46</v>
      </c>
      <c r="C220" t="s">
        <v>10</v>
      </c>
      <c r="D220" s="1">
        <v>45689</v>
      </c>
      <c r="E220" s="3">
        <v>36000</v>
      </c>
      <c r="F220" t="str">
        <f>+TRIM(B220)</f>
        <v>Atlas Elevator Co</v>
      </c>
      <c r="G220" t="str" cm="1">
        <f t="array" ref="G220">_xlfn.IFS(
  ISNUMBER(SEARCH("Core", C220)), "Core Platform",
  ISNUMBER(SEARCH("Analytics", C220)), "Analytics",
  ISNUMBER(SEARCH("Automation", C220)), "Automation"
)</f>
        <v>Analytics</v>
      </c>
    </row>
    <row r="221" spans="1:7" x14ac:dyDescent="0.35">
      <c r="A221" t="s">
        <v>37</v>
      </c>
      <c r="B221" t="s">
        <v>38</v>
      </c>
      <c r="C221" t="s">
        <v>16</v>
      </c>
      <c r="D221" s="1">
        <v>45962</v>
      </c>
      <c r="E221" s="3">
        <v>88000</v>
      </c>
      <c r="F221" t="str">
        <f>+TRIM(B221)</f>
        <v>Fairwind Marine</v>
      </c>
      <c r="G221" t="str" cm="1">
        <f t="array" ref="G221">_xlfn.IFS(
  ISNUMBER(SEARCH("Core", C221)), "Core Platform",
  ISNUMBER(SEARCH("Analytics", C221)), "Analytics",
  ISNUMBER(SEARCH("Automation", C221)), "Automation"
)</f>
        <v>Core Platform</v>
      </c>
    </row>
    <row r="222" spans="1:7" x14ac:dyDescent="0.35">
      <c r="A222" t="s">
        <v>48</v>
      </c>
      <c r="B222" t="s">
        <v>49</v>
      </c>
      <c r="C222" t="s">
        <v>50</v>
      </c>
      <c r="D222" s="1">
        <v>45870</v>
      </c>
      <c r="E222" s="3">
        <v>11000</v>
      </c>
      <c r="F222" t="str">
        <f>+TRIM(B222)</f>
        <v>Lakeside Energy</v>
      </c>
      <c r="G222" t="str" cm="1">
        <f t="array" ref="G222">_xlfn.IFS(
  ISNUMBER(SEARCH("Core", C222)), "Core Platform",
  ISNUMBER(SEARCH("Analytics", C222)), "Analytics",
  ISNUMBER(SEARCH("Automation", C222)), "Automation"
)</f>
        <v>Automation</v>
      </c>
    </row>
    <row r="223" spans="1:7" x14ac:dyDescent="0.35">
      <c r="A223" t="s">
        <v>8</v>
      </c>
      <c r="B223" t="s">
        <v>9</v>
      </c>
      <c r="C223" t="s">
        <v>10</v>
      </c>
      <c r="D223" s="1">
        <v>45901</v>
      </c>
      <c r="E223" s="3">
        <v>35000</v>
      </c>
      <c r="F223" t="str">
        <f>+TRIM(B223)</f>
        <v>Cobalt Networks</v>
      </c>
      <c r="G223" t="str" cm="1">
        <f t="array" ref="G223">_xlfn.IFS(
  ISNUMBER(SEARCH("Core", C223)), "Core Platform",
  ISNUMBER(SEARCH("Analytics", C223)), "Analytics",
  ISNUMBER(SEARCH("Automation", C223)), "Automation"
)</f>
        <v>Analytics</v>
      </c>
    </row>
    <row r="224" spans="1:7" x14ac:dyDescent="0.35">
      <c r="A224" t="s">
        <v>39</v>
      </c>
      <c r="B224" t="s">
        <v>40</v>
      </c>
      <c r="C224" t="s">
        <v>10</v>
      </c>
      <c r="D224" s="1">
        <v>45748</v>
      </c>
      <c r="E224" s="3">
        <v>26000</v>
      </c>
      <c r="F224" t="str">
        <f>+TRIM(B224)</f>
        <v>Foundry Industrial</v>
      </c>
      <c r="G224" t="str" cm="1">
        <f t="array" ref="G224">_xlfn.IFS(
  ISNUMBER(SEARCH("Core", C224)), "Core Platform",
  ISNUMBER(SEARCH("Analytics", C224)), "Analytics",
  ISNUMBER(SEARCH("Automation", C224)), "Automation"
)</f>
        <v>Analytics</v>
      </c>
    </row>
    <row r="225" spans="1:7" x14ac:dyDescent="0.35">
      <c r="A225" t="s">
        <v>14</v>
      </c>
      <c r="B225" t="s">
        <v>15</v>
      </c>
      <c r="C225" t="s">
        <v>16</v>
      </c>
      <c r="D225" s="1">
        <v>45931</v>
      </c>
      <c r="E225" s="3">
        <v>79000</v>
      </c>
      <c r="F225" t="str">
        <f>+TRIM(B225)</f>
        <v>Willowbrook Care</v>
      </c>
      <c r="G225" t="str" cm="1">
        <f t="array" ref="G225">_xlfn.IFS(
  ISNUMBER(SEARCH("Core", C225)), "Core Platform",
  ISNUMBER(SEARCH("Analytics", C225)), "Analytics",
  ISNUMBER(SEARCH("Automation", C225)), "Automation"
)</f>
        <v>Core Platform</v>
      </c>
    </row>
    <row r="226" spans="1:7" x14ac:dyDescent="0.35">
      <c r="A226" t="s">
        <v>70</v>
      </c>
      <c r="B226" t="s">
        <v>71</v>
      </c>
      <c r="C226" t="s">
        <v>28</v>
      </c>
      <c r="D226" s="1">
        <v>45627</v>
      </c>
      <c r="E226" s="3">
        <v>76000</v>
      </c>
      <c r="F226" t="str">
        <f>+TRIM(B226)</f>
        <v>Vertex Manufacturing</v>
      </c>
      <c r="G226" t="str" cm="1">
        <f t="array" ref="G226">_xlfn.IFS(
  ISNUMBER(SEARCH("Core", C226)), "Core Platform",
  ISNUMBER(SEARCH("Analytics", C226)), "Analytics",
  ISNUMBER(SEARCH("Automation", C226)), "Automation"
)</f>
        <v>Core Platform</v>
      </c>
    </row>
    <row r="227" spans="1:7" x14ac:dyDescent="0.35">
      <c r="A227" t="s">
        <v>19</v>
      </c>
      <c r="B227" t="s">
        <v>20</v>
      </c>
      <c r="C227" t="s">
        <v>21</v>
      </c>
      <c r="D227" s="1">
        <v>45658</v>
      </c>
      <c r="E227" s="3">
        <v>10000</v>
      </c>
      <c r="F227" t="str">
        <f>+TRIM(B227)</f>
        <v>Granite State Mechanical</v>
      </c>
      <c r="G227" t="str" cm="1">
        <f t="array" ref="G227">_xlfn.IFS(
  ISNUMBER(SEARCH("Core", C227)), "Core Platform",
  ISNUMBER(SEARCH("Analytics", C227)), "Analytics",
  ISNUMBER(SEARCH("Automation", C227)), "Automation"
)</f>
        <v>Automation</v>
      </c>
    </row>
    <row r="228" spans="1:7" x14ac:dyDescent="0.35">
      <c r="A228" t="s">
        <v>22</v>
      </c>
      <c r="B228" t="s">
        <v>23</v>
      </c>
      <c r="C228" t="s">
        <v>7</v>
      </c>
      <c r="D228" s="1">
        <v>45778</v>
      </c>
      <c r="E228" s="3">
        <v>15000</v>
      </c>
      <c r="F228" t="str">
        <f>+TRIM(B228)</f>
        <v>Ridgeline HVAC</v>
      </c>
      <c r="G228" t="str" cm="1">
        <f t="array" ref="G228">_xlfn.IFS(
  ISNUMBER(SEARCH("Core", C228)), "Core Platform",
  ISNUMBER(SEARCH("Analytics", C228)), "Analytics",
  ISNUMBER(SEARCH("Automation", C228)), "Automation"
)</f>
        <v>Analytics</v>
      </c>
    </row>
    <row r="229" spans="1:7" x14ac:dyDescent="0.35">
      <c r="A229" t="s">
        <v>48</v>
      </c>
      <c r="B229" t="s">
        <v>49</v>
      </c>
      <c r="C229" t="s">
        <v>16</v>
      </c>
      <c r="D229" s="1">
        <v>45689</v>
      </c>
      <c r="E229" s="3">
        <v>100000</v>
      </c>
      <c r="F229" t="str">
        <f>+TRIM(B229)</f>
        <v>Lakeside Energy</v>
      </c>
      <c r="G229" t="str" cm="1">
        <f t="array" ref="G229">_xlfn.IFS(
  ISNUMBER(SEARCH("Core", C229)), "Core Platform",
  ISNUMBER(SEARCH("Analytics", C229)), "Analytics",
  ISNUMBER(SEARCH("Automation", C229)), "Automation"
)</f>
        <v>Core Platform</v>
      </c>
    </row>
    <row r="230" spans="1:7" x14ac:dyDescent="0.35">
      <c r="A230" t="s">
        <v>57</v>
      </c>
      <c r="B230" t="s">
        <v>58</v>
      </c>
      <c r="C230" t="s">
        <v>7</v>
      </c>
      <c r="D230" s="1">
        <v>45992</v>
      </c>
      <c r="E230" s="3">
        <v>18000</v>
      </c>
      <c r="F230" t="str">
        <f>+TRIM(B230)</f>
        <v>Everest Drilling</v>
      </c>
      <c r="G230" t="str" cm="1">
        <f t="array" ref="G230">_xlfn.IFS(
  ISNUMBER(SEARCH("Core", C230)), "Core Platform",
  ISNUMBER(SEARCH("Analytics", C230)), "Analytics",
  ISNUMBER(SEARCH("Automation", C230)), "Automation"
)</f>
        <v>Analytics</v>
      </c>
    </row>
    <row r="231" spans="1:7" x14ac:dyDescent="0.35">
      <c r="A231" t="s">
        <v>70</v>
      </c>
      <c r="B231" t="s">
        <v>71</v>
      </c>
      <c r="C231" t="s">
        <v>21</v>
      </c>
      <c r="D231" s="1">
        <v>45778</v>
      </c>
      <c r="E231" s="3">
        <v>9000</v>
      </c>
      <c r="F231" t="str">
        <f>+TRIM(B231)</f>
        <v>Vertex Manufacturing</v>
      </c>
      <c r="G231" t="str" cm="1">
        <f t="array" ref="G231">_xlfn.IFS(
  ISNUMBER(SEARCH("Core", C231)), "Core Platform",
  ISNUMBER(SEARCH("Analytics", C231)), "Analytics",
  ISNUMBER(SEARCH("Automation", C231)), "Automation"
)</f>
        <v>Automation</v>
      </c>
    </row>
    <row r="232" spans="1:7" x14ac:dyDescent="0.35">
      <c r="A232" t="s">
        <v>37</v>
      </c>
      <c r="B232" t="s">
        <v>38</v>
      </c>
      <c r="C232" t="s">
        <v>10</v>
      </c>
      <c r="D232" s="1">
        <v>45962</v>
      </c>
      <c r="E232" s="3">
        <v>19000</v>
      </c>
      <c r="F232" t="str">
        <f>+TRIM(B232)</f>
        <v>Fairwind Marine</v>
      </c>
      <c r="G232" t="str" cm="1">
        <f t="array" ref="G232">_xlfn.IFS(
  ISNUMBER(SEARCH("Core", C232)), "Core Platform",
  ISNUMBER(SEARCH("Analytics", C232)), "Analytics",
  ISNUMBER(SEARCH("Automation", C232)), "Automation"
)</f>
        <v>Analytics</v>
      </c>
    </row>
    <row r="233" spans="1:7" x14ac:dyDescent="0.35">
      <c r="A233" t="s">
        <v>60</v>
      </c>
      <c r="B233" t="s">
        <v>61</v>
      </c>
      <c r="C233" t="s">
        <v>10</v>
      </c>
      <c r="D233" s="1">
        <v>45839</v>
      </c>
      <c r="E233" s="3">
        <v>23000</v>
      </c>
      <c r="F233" t="str">
        <f>+TRIM(B233)</f>
        <v>Redwood Field Services</v>
      </c>
      <c r="G233" t="str" cm="1">
        <f t="array" ref="G233">_xlfn.IFS(
  ISNUMBER(SEARCH("Core", C233)), "Core Platform",
  ISNUMBER(SEARCH("Analytics", C233)), "Analytics",
  ISNUMBER(SEARCH("Automation", C233)), "Automation"
)</f>
        <v>Analytics</v>
      </c>
    </row>
    <row r="234" spans="1:7" x14ac:dyDescent="0.35">
      <c r="A234" t="s">
        <v>41</v>
      </c>
      <c r="B234" t="s">
        <v>42</v>
      </c>
      <c r="C234" t="s">
        <v>10</v>
      </c>
      <c r="D234" s="1">
        <v>45748</v>
      </c>
      <c r="E234" s="3">
        <v>17000</v>
      </c>
      <c r="F234" t="str">
        <f>+TRIM(B234)</f>
        <v>Delta Refrigeration</v>
      </c>
      <c r="G234" t="str" cm="1">
        <f t="array" ref="G234">_xlfn.IFS(
  ISNUMBER(SEARCH("Core", C234)), "Core Platform",
  ISNUMBER(SEARCH("Analytics", C234)), "Analytics",
  ISNUMBER(SEARCH("Automation", C234)), "Automation"
)</f>
        <v>Analytics</v>
      </c>
    </row>
    <row r="235" spans="1:7" x14ac:dyDescent="0.35">
      <c r="A235" t="s">
        <v>31</v>
      </c>
      <c r="B235" t="s">
        <v>32</v>
      </c>
      <c r="C235" t="s">
        <v>16</v>
      </c>
      <c r="D235" s="1">
        <v>45658</v>
      </c>
      <c r="E235" s="3">
        <v>77000</v>
      </c>
      <c r="F235" t="str">
        <f>+TRIM(B235)</f>
        <v>Summit Fire Protection</v>
      </c>
      <c r="G235" t="str" cm="1">
        <f t="array" ref="G235">_xlfn.IFS(
  ISNUMBER(SEARCH("Core", C235)), "Core Platform",
  ISNUMBER(SEARCH("Analytics", C235)), "Analytics",
  ISNUMBER(SEARCH("Automation", C235)), "Automation"
)</f>
        <v>Core Platform</v>
      </c>
    </row>
    <row r="236" spans="1:7" x14ac:dyDescent="0.35">
      <c r="A236" t="s">
        <v>43</v>
      </c>
      <c r="B236" t="s">
        <v>44</v>
      </c>
      <c r="C236" t="s">
        <v>16</v>
      </c>
      <c r="D236" s="1">
        <v>45627</v>
      </c>
      <c r="E236" s="3">
        <v>70000</v>
      </c>
      <c r="F236" t="str">
        <f>+TRIM(B236)</f>
        <v>Harborview Plumbing</v>
      </c>
      <c r="G236" t="str" cm="1">
        <f t="array" ref="G236">_xlfn.IFS(
  ISNUMBER(SEARCH("Core", C236)), "Core Platform",
  ISNUMBER(SEARCH("Analytics", C236)), "Analytics",
  ISNUMBER(SEARCH("Automation", C236)), "Automation"
)</f>
        <v>Core Platform</v>
      </c>
    </row>
    <row r="237" spans="1:7" x14ac:dyDescent="0.35">
      <c r="A237" t="s">
        <v>17</v>
      </c>
      <c r="B237" t="s">
        <v>18</v>
      </c>
      <c r="C237" t="s">
        <v>16</v>
      </c>
      <c r="D237" s="1">
        <v>45778</v>
      </c>
      <c r="E237" s="3">
        <v>90000</v>
      </c>
      <c r="F237" t="str">
        <f>+TRIM(B237)</f>
        <v>Ironclad Security</v>
      </c>
      <c r="G237" t="str" cm="1">
        <f t="array" ref="G237">_xlfn.IFS(
  ISNUMBER(SEARCH("Core", C237)), "Core Platform",
  ISNUMBER(SEARCH("Analytics", C237)), "Analytics",
  ISNUMBER(SEARCH("Automation", C237)), "Automation"
)</f>
        <v>Core Platform</v>
      </c>
    </row>
    <row r="238" spans="1:7" x14ac:dyDescent="0.35">
      <c r="A238" t="s">
        <v>22</v>
      </c>
      <c r="B238" t="s">
        <v>23</v>
      </c>
      <c r="C238" t="s">
        <v>16</v>
      </c>
      <c r="D238" s="1">
        <v>45901</v>
      </c>
      <c r="E238" s="3">
        <v>132000</v>
      </c>
      <c r="F238" t="str">
        <f>+TRIM(B238)</f>
        <v>Ridgeline HVAC</v>
      </c>
      <c r="G238" t="str" cm="1">
        <f t="array" ref="G238">_xlfn.IFS(
  ISNUMBER(SEARCH("Core", C238)), "Core Platform",
  ISNUMBER(SEARCH("Analytics", C238)), "Analytics",
  ISNUMBER(SEARCH("Automation", C238)), "Automation"
)</f>
        <v>Core Platform</v>
      </c>
    </row>
    <row r="239" spans="1:7" x14ac:dyDescent="0.35">
      <c r="A239" t="s">
        <v>48</v>
      </c>
      <c r="B239" t="s">
        <v>49</v>
      </c>
      <c r="C239" t="s">
        <v>16</v>
      </c>
      <c r="D239" s="1">
        <v>45717</v>
      </c>
      <c r="E239" s="3">
        <v>112000</v>
      </c>
      <c r="F239" t="str">
        <f>+TRIM(B239)</f>
        <v>Lakeside Energy</v>
      </c>
      <c r="G239" t="str" cm="1">
        <f t="array" ref="G239">_xlfn.IFS(
  ISNUMBER(SEARCH("Core", C239)), "Core Platform",
  ISNUMBER(SEARCH("Analytics", C239)), "Analytics",
  ISNUMBER(SEARCH("Automation", C239)), "Automation"
)</f>
        <v>Core Platform</v>
      </c>
    </row>
    <row r="240" spans="1:7" x14ac:dyDescent="0.35">
      <c r="A240" t="s">
        <v>11</v>
      </c>
      <c r="B240" t="s">
        <v>59</v>
      </c>
      <c r="C240" t="s">
        <v>10</v>
      </c>
      <c r="D240" s="1">
        <v>45658</v>
      </c>
      <c r="E240" s="3">
        <v>39000</v>
      </c>
      <c r="F240" t="str">
        <f>+TRIM(B240)</f>
        <v>Pinecrest Property</v>
      </c>
      <c r="G240" t="str" cm="1">
        <f t="array" ref="G240">_xlfn.IFS(
  ISNUMBER(SEARCH("Core", C240)), "Core Platform",
  ISNUMBER(SEARCH("Analytics", C240)), "Analytics",
  ISNUMBER(SEARCH("Automation", C240)), "Automation"
)</f>
        <v>Analytics</v>
      </c>
    </row>
    <row r="241" spans="1:7" x14ac:dyDescent="0.35">
      <c r="A241" t="s">
        <v>5</v>
      </c>
      <c r="B241" t="s">
        <v>6</v>
      </c>
      <c r="C241" t="s">
        <v>7</v>
      </c>
      <c r="D241" s="1">
        <v>45992</v>
      </c>
      <c r="E241" s="3">
        <v>24000</v>
      </c>
      <c r="F241" t="str">
        <f>+TRIM(B241)</f>
        <v>Meridian Water Group</v>
      </c>
      <c r="G241" t="str" cm="1">
        <f t="array" ref="G241">_xlfn.IFS(
  ISNUMBER(SEARCH("Core", C241)), "Core Platform",
  ISNUMBER(SEARCH("Analytics", C241)), "Analytics",
  ISNUMBER(SEARCH("Automation", C241)), "Automation"
)</f>
        <v>Analytics</v>
      </c>
    </row>
    <row r="242" spans="1:7" x14ac:dyDescent="0.35">
      <c r="A242" t="s">
        <v>24</v>
      </c>
      <c r="B242" t="s">
        <v>45</v>
      </c>
      <c r="C242" t="s">
        <v>28</v>
      </c>
      <c r="D242" s="1">
        <v>45717</v>
      </c>
      <c r="E242" s="3">
        <v>100000</v>
      </c>
      <c r="F242" t="str">
        <f>+TRIM(B242)</f>
        <v>Kestrel Telecom</v>
      </c>
      <c r="G242" t="str" cm="1">
        <f t="array" ref="G242">_xlfn.IFS(
  ISNUMBER(SEARCH("Core", C242)), "Core Platform",
  ISNUMBER(SEARCH("Analytics", C242)), "Analytics",
  ISNUMBER(SEARCH("Automation", C242)), "Automation"
)</f>
        <v>Core Platform</v>
      </c>
    </row>
    <row r="243" spans="1:7" x14ac:dyDescent="0.35">
      <c r="A243" t="s">
        <v>66</v>
      </c>
      <c r="B243" t="s">
        <v>67</v>
      </c>
      <c r="C243" t="s">
        <v>50</v>
      </c>
      <c r="D243" s="1">
        <v>45839</v>
      </c>
      <c r="E243" s="3">
        <v>19000</v>
      </c>
      <c r="F243" t="str">
        <f>+TRIM(B243)</f>
        <v>Beacon Environmental</v>
      </c>
      <c r="G243" t="str" cm="1">
        <f t="array" ref="G243">_xlfn.IFS(
  ISNUMBER(SEARCH("Core", C243)), "Core Platform",
  ISNUMBER(SEARCH("Analytics", C243)), "Analytics",
  ISNUMBER(SEARCH("Automation", C243)), "Automation"
)</f>
        <v>Automation</v>
      </c>
    </row>
    <row r="244" spans="1:7" x14ac:dyDescent="0.35">
      <c r="A244" t="s">
        <v>91</v>
      </c>
      <c r="B244" t="s">
        <v>92</v>
      </c>
      <c r="C244" t="s">
        <v>21</v>
      </c>
      <c r="D244" s="1">
        <v>45901</v>
      </c>
      <c r="E244" s="3">
        <v>19000</v>
      </c>
      <c r="F244" t="str">
        <f>+TRIM(B244)</f>
        <v>Trailhead Equipment</v>
      </c>
      <c r="G244" t="str" cm="1">
        <f t="array" ref="G244">_xlfn.IFS(
  ISNUMBER(SEARCH("Core", C244)), "Core Platform",
  ISNUMBER(SEARCH("Analytics", C244)), "Analytics",
  ISNUMBER(SEARCH("Automation", C244)), "Automation"
)</f>
        <v>Automation</v>
      </c>
    </row>
    <row r="245" spans="1:7" x14ac:dyDescent="0.35">
      <c r="A245" t="s">
        <v>39</v>
      </c>
      <c r="B245" t="s">
        <v>40</v>
      </c>
      <c r="C245" t="s">
        <v>28</v>
      </c>
      <c r="D245" s="1">
        <v>45809</v>
      </c>
      <c r="E245" s="3">
        <v>60000</v>
      </c>
      <c r="F245" t="str">
        <f>+TRIM(B245)</f>
        <v>Foundry Industrial</v>
      </c>
      <c r="G245" t="str" cm="1">
        <f t="array" ref="G245">_xlfn.IFS(
  ISNUMBER(SEARCH("Core", C245)), "Core Platform",
  ISNUMBER(SEARCH("Analytics", C245)), "Analytics",
  ISNUMBER(SEARCH("Automation", C245)), "Automation"
)</f>
        <v>Core Platform</v>
      </c>
    </row>
    <row r="246" spans="1:7" x14ac:dyDescent="0.35">
      <c r="A246" t="s">
        <v>8</v>
      </c>
      <c r="B246" t="s">
        <v>9</v>
      </c>
      <c r="C246" t="s">
        <v>10</v>
      </c>
      <c r="D246" s="1">
        <v>45870</v>
      </c>
      <c r="E246" s="3">
        <v>35000</v>
      </c>
      <c r="F246" t="str">
        <f>+TRIM(B246)</f>
        <v>Cobalt Networks</v>
      </c>
      <c r="G246" t="str" cm="1">
        <f t="array" ref="G246">_xlfn.IFS(
  ISNUMBER(SEARCH("Core", C246)), "Core Platform",
  ISNUMBER(SEARCH("Analytics", C246)), "Analytics",
  ISNUMBER(SEARCH("Automation", C246)), "Automation"
)</f>
        <v>Analytics</v>
      </c>
    </row>
    <row r="247" spans="1:7" x14ac:dyDescent="0.35">
      <c r="A247" t="s">
        <v>70</v>
      </c>
      <c r="B247" t="s">
        <v>71</v>
      </c>
      <c r="C247" t="s">
        <v>28</v>
      </c>
      <c r="D247" s="1">
        <v>45839</v>
      </c>
      <c r="E247" s="3">
        <v>85000</v>
      </c>
      <c r="F247" t="str">
        <f>+TRIM(B247)</f>
        <v>Vertex Manufacturing</v>
      </c>
      <c r="G247" t="str" cm="1">
        <f t="array" ref="G247">_xlfn.IFS(
  ISNUMBER(SEARCH("Core", C247)), "Core Platform",
  ISNUMBER(SEARCH("Analytics", C247)), "Analytics",
  ISNUMBER(SEARCH("Automation", C247)), "Automation"
)</f>
        <v>Core Platform</v>
      </c>
    </row>
    <row r="248" spans="1:7" x14ac:dyDescent="0.35">
      <c r="A248" t="s">
        <v>57</v>
      </c>
      <c r="B248" t="s">
        <v>58</v>
      </c>
      <c r="C248" t="s">
        <v>13</v>
      </c>
      <c r="D248" s="1">
        <v>45962</v>
      </c>
      <c r="E248" s="3">
        <v>20000</v>
      </c>
      <c r="F248" t="str">
        <f>+TRIM(B248)</f>
        <v>Everest Drilling</v>
      </c>
      <c r="G248" t="str" cm="1">
        <f t="array" ref="G248">_xlfn.IFS(
  ISNUMBER(SEARCH("Core", C248)), "Core Platform",
  ISNUMBER(SEARCH("Analytics", C248)), "Analytics",
  ISNUMBER(SEARCH("Automation", C248)), "Automation"
)</f>
        <v>Automation</v>
      </c>
    </row>
    <row r="249" spans="1:7" x14ac:dyDescent="0.35">
      <c r="A249" t="s">
        <v>29</v>
      </c>
      <c r="B249" t="s">
        <v>30</v>
      </c>
      <c r="C249" t="s">
        <v>10</v>
      </c>
      <c r="D249" s="1">
        <v>45992</v>
      </c>
      <c r="E249" s="3">
        <v>36000</v>
      </c>
      <c r="F249" t="str">
        <f>+TRIM(B249)</f>
        <v>Atlas Elevator Co</v>
      </c>
      <c r="G249" t="str" cm="1">
        <f t="array" ref="G249">_xlfn.IFS(
  ISNUMBER(SEARCH("Core", C249)), "Core Platform",
  ISNUMBER(SEARCH("Analytics", C249)), "Analytics",
  ISNUMBER(SEARCH("Automation", C249)), "Automation"
)</f>
        <v>Analytics</v>
      </c>
    </row>
    <row r="250" spans="1:7" x14ac:dyDescent="0.35">
      <c r="A250" t="s">
        <v>89</v>
      </c>
      <c r="B250" t="s">
        <v>90</v>
      </c>
      <c r="C250" t="s">
        <v>10</v>
      </c>
      <c r="D250" s="1">
        <v>45992</v>
      </c>
      <c r="E250" s="3">
        <v>18000</v>
      </c>
      <c r="F250" t="str">
        <f>+TRIM(B250)</f>
        <v>Riverbend Agriculture</v>
      </c>
      <c r="G250" t="str" cm="1">
        <f t="array" ref="G250">_xlfn.IFS(
  ISNUMBER(SEARCH("Core", C250)), "Core Platform",
  ISNUMBER(SEARCH("Analytics", C250)), "Analytics",
  ISNUMBER(SEARCH("Automation", C250)), "Automation"
)</f>
        <v>Analytics</v>
      </c>
    </row>
    <row r="251" spans="1:7" x14ac:dyDescent="0.35">
      <c r="A251" t="s">
        <v>11</v>
      </c>
      <c r="B251" t="s">
        <v>59</v>
      </c>
      <c r="C251" t="s">
        <v>28</v>
      </c>
      <c r="D251" s="1">
        <v>45962</v>
      </c>
      <c r="E251" s="3">
        <v>118000</v>
      </c>
      <c r="F251" t="str">
        <f>+TRIM(B251)</f>
        <v>Pinecrest Property</v>
      </c>
      <c r="G251" t="str" cm="1">
        <f t="array" ref="G251">_xlfn.IFS(
  ISNUMBER(SEARCH("Core", C251)), "Core Platform",
  ISNUMBER(SEARCH("Analytics", C251)), "Analytics",
  ISNUMBER(SEARCH("Automation", C251)), "Automation"
)</f>
        <v>Core Platform</v>
      </c>
    </row>
    <row r="252" spans="1:7" x14ac:dyDescent="0.35">
      <c r="A252" t="s">
        <v>41</v>
      </c>
      <c r="B252" t="s">
        <v>42</v>
      </c>
      <c r="C252" t="s">
        <v>10</v>
      </c>
      <c r="D252" s="1">
        <v>45962</v>
      </c>
      <c r="E252" s="3">
        <v>17000</v>
      </c>
      <c r="F252" t="str">
        <f>+TRIM(B252)</f>
        <v>Delta Refrigeration</v>
      </c>
      <c r="G252" t="str" cm="1">
        <f t="array" ref="G252">_xlfn.IFS(
  ISNUMBER(SEARCH("Core", C252)), "Core Platform",
  ISNUMBER(SEARCH("Analytics", C252)), "Analytics",
  ISNUMBER(SEARCH("Automation", C252)), "Automation"
)</f>
        <v>Analytics</v>
      </c>
    </row>
    <row r="253" spans="1:7" x14ac:dyDescent="0.35">
      <c r="A253" t="s">
        <v>24</v>
      </c>
      <c r="B253" t="s">
        <v>45</v>
      </c>
      <c r="C253" t="s">
        <v>28</v>
      </c>
      <c r="D253" s="1">
        <v>45627</v>
      </c>
      <c r="E253" s="3">
        <v>100000</v>
      </c>
      <c r="F253" t="str">
        <f>+TRIM(B253)</f>
        <v>Kestrel Telecom</v>
      </c>
      <c r="G253" t="str" cm="1">
        <f t="array" ref="G253">_xlfn.IFS(
  ISNUMBER(SEARCH("Core", C253)), "Core Platform",
  ISNUMBER(SEARCH("Analytics", C253)), "Analytics",
  ISNUMBER(SEARCH("Automation", C253)), "Automation"
)</f>
        <v>Core Platform</v>
      </c>
    </row>
    <row r="254" spans="1:7" x14ac:dyDescent="0.35">
      <c r="A254" t="s">
        <v>37</v>
      </c>
      <c r="B254" t="s">
        <v>38</v>
      </c>
      <c r="C254" t="s">
        <v>65</v>
      </c>
      <c r="D254" s="1">
        <v>45901</v>
      </c>
      <c r="E254" s="3">
        <v>19000</v>
      </c>
      <c r="F254" t="str">
        <f>+TRIM(B254)</f>
        <v>Fairwind Marine</v>
      </c>
      <c r="G254" t="str" cm="1">
        <f t="array" ref="G254">_xlfn.IFS(
  ISNUMBER(SEARCH("Core", C254)), "Core Platform",
  ISNUMBER(SEARCH("Analytics", C254)), "Analytics",
  ISNUMBER(SEARCH("Automation", C254)), "Automation"
)</f>
        <v>Analytics</v>
      </c>
    </row>
    <row r="255" spans="1:7" x14ac:dyDescent="0.35">
      <c r="A255" t="s">
        <v>60</v>
      </c>
      <c r="B255" t="s">
        <v>61</v>
      </c>
      <c r="C255" t="s">
        <v>10</v>
      </c>
      <c r="D255" s="1">
        <v>45627</v>
      </c>
      <c r="E255" s="3">
        <v>23000</v>
      </c>
      <c r="F255" t="str">
        <f>+TRIM(B255)</f>
        <v>Redwood Field Services</v>
      </c>
      <c r="G255" t="str" cm="1">
        <f t="array" ref="G255">_xlfn.IFS(
  ISNUMBER(SEARCH("Core", C255)), "Core Platform",
  ISNUMBER(SEARCH("Analytics", C255)), "Analytics",
  ISNUMBER(SEARCH("Automation", C255)), "Automation"
)</f>
        <v>Analytics</v>
      </c>
    </row>
    <row r="256" spans="1:7" x14ac:dyDescent="0.35">
      <c r="A256" t="s">
        <v>72</v>
      </c>
      <c r="B256" t="s">
        <v>73</v>
      </c>
      <c r="C256" t="s">
        <v>16</v>
      </c>
      <c r="D256" s="1">
        <v>45809</v>
      </c>
      <c r="E256" s="3">
        <v>117000</v>
      </c>
      <c r="F256" t="str">
        <f>+TRIM(B256)</f>
        <v>Northwind Trading</v>
      </c>
      <c r="G256" t="str" cm="1">
        <f t="array" ref="G256">_xlfn.IFS(
  ISNUMBER(SEARCH("Core", C256)), "Core Platform",
  ISNUMBER(SEARCH("Analytics", C256)), "Analytics",
  ISNUMBER(SEARCH("Automation", C256)), "Automation"
)</f>
        <v>Core Platform</v>
      </c>
    </row>
    <row r="257" spans="1:7" x14ac:dyDescent="0.35">
      <c r="A257" t="s">
        <v>14</v>
      </c>
      <c r="B257" t="s">
        <v>15</v>
      </c>
      <c r="C257" t="s">
        <v>28</v>
      </c>
      <c r="D257" s="1">
        <v>45992</v>
      </c>
      <c r="E257" s="3">
        <v>62000</v>
      </c>
      <c r="F257" t="str">
        <f>+TRIM(B257)</f>
        <v>Willowbrook Care</v>
      </c>
      <c r="G257" t="str" cm="1">
        <f t="array" ref="G257">_xlfn.IFS(
  ISNUMBER(SEARCH("Core", C257)), "Core Platform",
  ISNUMBER(SEARCH("Analytics", C257)), "Analytics",
  ISNUMBER(SEARCH("Automation", C257)), "Automation"
)</f>
        <v>Core Platform</v>
      </c>
    </row>
    <row r="258" spans="1:7" x14ac:dyDescent="0.35">
      <c r="A258" t="s">
        <v>41</v>
      </c>
      <c r="B258" t="s">
        <v>42</v>
      </c>
      <c r="C258" t="s">
        <v>21</v>
      </c>
      <c r="D258" s="1">
        <v>45689</v>
      </c>
      <c r="E258" s="3">
        <v>22000</v>
      </c>
      <c r="F258" t="str">
        <f>+TRIM(B258)</f>
        <v>Delta Refrigeration</v>
      </c>
      <c r="G258" t="str" cm="1">
        <f t="array" ref="G258">_xlfn.IFS(
  ISNUMBER(SEARCH("Core", C258)), "Core Platform",
  ISNUMBER(SEARCH("Analytics", C258)), "Analytics",
  ISNUMBER(SEARCH("Automation", C258)), "Automation"
)</f>
        <v>Automation</v>
      </c>
    </row>
    <row r="259" spans="1:7" x14ac:dyDescent="0.35">
      <c r="A259" t="s">
        <v>87</v>
      </c>
      <c r="B259" t="s">
        <v>99</v>
      </c>
      <c r="C259" t="s">
        <v>28</v>
      </c>
      <c r="D259" s="1">
        <v>45839</v>
      </c>
      <c r="E259" s="3">
        <v>73000</v>
      </c>
      <c r="F259" t="str">
        <f>+TRIM(B259)</f>
        <v>Brightway Solar</v>
      </c>
      <c r="G259" t="str" cm="1">
        <f t="array" ref="G259">_xlfn.IFS(
  ISNUMBER(SEARCH("Core", C259)), "Core Platform",
  ISNUMBER(SEARCH("Analytics", C259)), "Analytics",
  ISNUMBER(SEARCH("Automation", C259)), "Automation"
)</f>
        <v>Core Platform</v>
      </c>
    </row>
    <row r="260" spans="1:7" x14ac:dyDescent="0.35">
      <c r="A260" t="s">
        <v>41</v>
      </c>
      <c r="B260" t="s">
        <v>42</v>
      </c>
      <c r="C260" t="s">
        <v>7</v>
      </c>
      <c r="D260" s="1">
        <v>45689</v>
      </c>
      <c r="E260" s="3">
        <v>17000</v>
      </c>
      <c r="F260" t="str">
        <f>+TRIM(B260)</f>
        <v>Delta Refrigeration</v>
      </c>
      <c r="G260" t="str" cm="1">
        <f t="array" ref="G260">_xlfn.IFS(
  ISNUMBER(SEARCH("Core", C260)), "Core Platform",
  ISNUMBER(SEARCH("Analytics", C260)), "Analytics",
  ISNUMBER(SEARCH("Automation", C260)), "Automation"
)</f>
        <v>Analytics</v>
      </c>
    </row>
    <row r="261" spans="1:7" x14ac:dyDescent="0.35">
      <c r="A261" t="s">
        <v>74</v>
      </c>
      <c r="B261" t="s">
        <v>75</v>
      </c>
      <c r="C261" t="s">
        <v>28</v>
      </c>
      <c r="D261" s="1">
        <v>45962</v>
      </c>
      <c r="E261" s="3">
        <v>155000</v>
      </c>
      <c r="F261" t="str">
        <f>+TRIM(B261)</f>
        <v>Sterling Facilities</v>
      </c>
      <c r="G261" t="str" cm="1">
        <f t="array" ref="G261">_xlfn.IFS(
  ISNUMBER(SEARCH("Core", C261)), "Core Platform",
  ISNUMBER(SEARCH("Analytics", C261)), "Analytics",
  ISNUMBER(SEARCH("Automation", C261)), "Automation"
)</f>
        <v>Core Platform</v>
      </c>
    </row>
    <row r="262" spans="1:7" x14ac:dyDescent="0.35">
      <c r="A262" t="s">
        <v>84</v>
      </c>
      <c r="B262" t="s">
        <v>85</v>
      </c>
      <c r="C262" t="s">
        <v>28</v>
      </c>
      <c r="D262" s="1">
        <v>45992</v>
      </c>
      <c r="E262" s="3">
        <v>44000</v>
      </c>
      <c r="F262" t="str">
        <f>+TRIM(B262)</f>
        <v>Timberline Landscaping</v>
      </c>
      <c r="G262" t="str" cm="1">
        <f t="array" ref="G262">_xlfn.IFS(
  ISNUMBER(SEARCH("Core", C262)), "Core Platform",
  ISNUMBER(SEARCH("Analytics", C262)), "Analytics",
  ISNUMBER(SEARCH("Automation", C262)), "Automation"
)</f>
        <v>Core Platform</v>
      </c>
    </row>
    <row r="263" spans="1:7" x14ac:dyDescent="0.35">
      <c r="A263" t="s">
        <v>29</v>
      </c>
      <c r="B263" t="s">
        <v>46</v>
      </c>
      <c r="C263" t="s">
        <v>16</v>
      </c>
      <c r="D263" s="1">
        <v>45627</v>
      </c>
      <c r="E263" s="3">
        <v>60000</v>
      </c>
      <c r="F263" t="str">
        <f>+TRIM(B263)</f>
        <v>Atlas Elevator Co</v>
      </c>
      <c r="G263" t="str" cm="1">
        <f t="array" ref="G263">_xlfn.IFS(
  ISNUMBER(SEARCH("Core", C263)), "Core Platform",
  ISNUMBER(SEARCH("Analytics", C263)), "Analytics",
  ISNUMBER(SEARCH("Automation", C263)), "Automation"
)</f>
        <v>Core Platform</v>
      </c>
    </row>
    <row r="264" spans="1:7" x14ac:dyDescent="0.35">
      <c r="A264" t="s">
        <v>72</v>
      </c>
      <c r="B264" t="s">
        <v>73</v>
      </c>
      <c r="C264" t="s">
        <v>13</v>
      </c>
      <c r="D264" s="1">
        <v>45931</v>
      </c>
      <c r="E264" s="3">
        <v>16000</v>
      </c>
      <c r="F264" t="str">
        <f>+TRIM(B264)</f>
        <v>Northwind Trading</v>
      </c>
      <c r="G264" t="str" cm="1">
        <f t="array" ref="G264">_xlfn.IFS(
  ISNUMBER(SEARCH("Core", C264)), "Core Platform",
  ISNUMBER(SEARCH("Analytics", C264)), "Analytics",
  ISNUMBER(SEARCH("Automation", C264)), "Automation"
)</f>
        <v>Automation</v>
      </c>
    </row>
    <row r="265" spans="1:7" x14ac:dyDescent="0.35">
      <c r="A265" t="s">
        <v>87</v>
      </c>
      <c r="B265" t="s">
        <v>88</v>
      </c>
      <c r="C265" t="s">
        <v>16</v>
      </c>
      <c r="D265" s="1">
        <v>45748</v>
      </c>
      <c r="E265" s="3">
        <v>73000</v>
      </c>
      <c r="F265" t="str">
        <f>+TRIM(B265)</f>
        <v>Brightway Solar</v>
      </c>
      <c r="G265" t="str" cm="1">
        <f t="array" ref="G265">_xlfn.IFS(
  ISNUMBER(SEARCH("Core", C265)), "Core Platform",
  ISNUMBER(SEARCH("Analytics", C265)), "Analytics",
  ISNUMBER(SEARCH("Automation", C265)), "Automation"
)</f>
        <v>Core Platform</v>
      </c>
    </row>
    <row r="266" spans="1:7" x14ac:dyDescent="0.35">
      <c r="A266" t="s">
        <v>17</v>
      </c>
      <c r="B266" t="s">
        <v>18</v>
      </c>
      <c r="C266" t="s">
        <v>10</v>
      </c>
      <c r="D266" s="1">
        <v>45839</v>
      </c>
      <c r="E266" s="3">
        <v>36000</v>
      </c>
      <c r="F266" t="str">
        <f>+TRIM(B266)</f>
        <v>Ironclad Security</v>
      </c>
      <c r="G266" t="str" cm="1">
        <f t="array" ref="G266">_xlfn.IFS(
  ISNUMBER(SEARCH("Core", C266)), "Core Platform",
  ISNUMBER(SEARCH("Analytics", C266)), "Analytics",
  ISNUMBER(SEARCH("Automation", C266)), "Automation"
)</f>
        <v>Analytics</v>
      </c>
    </row>
    <row r="267" spans="1:7" x14ac:dyDescent="0.35">
      <c r="A267" t="s">
        <v>70</v>
      </c>
      <c r="B267" t="s">
        <v>71</v>
      </c>
      <c r="C267" t="s">
        <v>10</v>
      </c>
      <c r="D267" s="1">
        <v>45992</v>
      </c>
      <c r="E267" s="3">
        <v>27000</v>
      </c>
      <c r="F267" t="str">
        <f>+TRIM(B267)</f>
        <v>Vertex Manufacturing</v>
      </c>
      <c r="G267" t="str" cm="1">
        <f t="array" ref="G267">_xlfn.IFS(
  ISNUMBER(SEARCH("Core", C267)), "Core Platform",
  ISNUMBER(SEARCH("Analytics", C267)), "Analytics",
  ISNUMBER(SEARCH("Automation", C267)), "Automation"
)</f>
        <v>Analytics</v>
      </c>
    </row>
    <row r="268" spans="1:7" x14ac:dyDescent="0.35">
      <c r="A268" t="s">
        <v>24</v>
      </c>
      <c r="B268" t="s">
        <v>45</v>
      </c>
      <c r="C268" t="s">
        <v>65</v>
      </c>
      <c r="D268" s="1">
        <v>45992</v>
      </c>
      <c r="E268" s="3">
        <v>38000</v>
      </c>
      <c r="F268" t="str">
        <f>+TRIM(B268)</f>
        <v>Kestrel Telecom</v>
      </c>
      <c r="G268" t="str" cm="1">
        <f t="array" ref="G268">_xlfn.IFS(
  ISNUMBER(SEARCH("Core", C268)), "Core Platform",
  ISNUMBER(SEARCH("Analytics", C268)), "Analytics",
  ISNUMBER(SEARCH("Automation", C268)), "Automation"
)</f>
        <v>Analytics</v>
      </c>
    </row>
    <row r="269" spans="1:7" x14ac:dyDescent="0.35">
      <c r="A269" t="s">
        <v>26</v>
      </c>
      <c r="B269" t="s">
        <v>27</v>
      </c>
      <c r="C269" t="s">
        <v>28</v>
      </c>
      <c r="D269" s="1">
        <v>45809</v>
      </c>
      <c r="E269" s="3">
        <v>72000</v>
      </c>
      <c r="F269" t="str">
        <f>+TRIM(B269)</f>
        <v>Blue Harbor Logistics</v>
      </c>
      <c r="G269" t="str" cm="1">
        <f t="array" ref="G269">_xlfn.IFS(
  ISNUMBER(SEARCH("Core", C269)), "Core Platform",
  ISNUMBER(SEARCH("Analytics", C269)), "Analytics",
  ISNUMBER(SEARCH("Automation", C269)), "Automation"
)</f>
        <v>Core Platform</v>
      </c>
    </row>
    <row r="270" spans="1:7" x14ac:dyDescent="0.35">
      <c r="A270" t="s">
        <v>53</v>
      </c>
      <c r="B270" t="s">
        <v>54</v>
      </c>
      <c r="C270" t="s">
        <v>16</v>
      </c>
      <c r="D270" s="1">
        <v>45992</v>
      </c>
      <c r="E270" s="3">
        <v>73000</v>
      </c>
      <c r="F270" t="str">
        <f>+TRIM(B270)</f>
        <v>Maple Grove Maintenance</v>
      </c>
      <c r="G270" t="str" cm="1">
        <f t="array" ref="G270">_xlfn.IFS(
  ISNUMBER(SEARCH("Core", C270)), "Core Platform",
  ISNUMBER(SEARCH("Analytics", C270)), "Analytics",
  ISNUMBER(SEARCH("Automation", C270)), "Automation"
)</f>
        <v>Core Platform</v>
      </c>
    </row>
    <row r="271" spans="1:7" x14ac:dyDescent="0.35">
      <c r="A271" t="s">
        <v>57</v>
      </c>
      <c r="B271" t="s">
        <v>58</v>
      </c>
      <c r="C271" t="s">
        <v>13</v>
      </c>
      <c r="D271" s="1">
        <v>45992</v>
      </c>
      <c r="E271" s="3">
        <v>20000</v>
      </c>
      <c r="F271" t="str">
        <f>+TRIM(B271)</f>
        <v>Everest Drilling</v>
      </c>
      <c r="G271" t="str" cm="1">
        <f t="array" ref="G271">_xlfn.IFS(
  ISNUMBER(SEARCH("Core", C271)), "Core Platform",
  ISNUMBER(SEARCH("Analytics", C271)), "Analytics",
  ISNUMBER(SEARCH("Automation", C271)), "Automation"
)</f>
        <v>Automation</v>
      </c>
    </row>
    <row r="272" spans="1:7" x14ac:dyDescent="0.35">
      <c r="A272" t="s">
        <v>66</v>
      </c>
      <c r="B272" t="s">
        <v>67</v>
      </c>
      <c r="C272" t="s">
        <v>7</v>
      </c>
      <c r="D272" s="1">
        <v>45931</v>
      </c>
      <c r="E272" s="3">
        <v>19000</v>
      </c>
      <c r="F272" t="str">
        <f>+TRIM(B272)</f>
        <v>Beacon Environmental</v>
      </c>
      <c r="G272" t="str" cm="1">
        <f t="array" ref="G272">_xlfn.IFS(
  ISNUMBER(SEARCH("Core", C272)), "Core Platform",
  ISNUMBER(SEARCH("Analytics", C272)), "Analytics",
  ISNUMBER(SEARCH("Automation", C272)), "Automation"
)</f>
        <v>Analytics</v>
      </c>
    </row>
    <row r="273" spans="1:7" x14ac:dyDescent="0.35">
      <c r="A273" t="s">
        <v>48</v>
      </c>
      <c r="B273" t="s">
        <v>49</v>
      </c>
      <c r="C273" t="s">
        <v>65</v>
      </c>
      <c r="D273" s="1">
        <v>45627</v>
      </c>
      <c r="E273" s="3">
        <v>26000</v>
      </c>
      <c r="F273" t="str">
        <f>+TRIM(B273)</f>
        <v>Lakeside Energy</v>
      </c>
      <c r="G273" t="str" cm="1">
        <f t="array" ref="G273">_xlfn.IFS(
  ISNUMBER(SEARCH("Core", C273)), "Core Platform",
  ISNUMBER(SEARCH("Analytics", C273)), "Analytics",
  ISNUMBER(SEARCH("Automation", C273)), "Automation"
)</f>
        <v>Analytics</v>
      </c>
    </row>
    <row r="274" spans="1:7" x14ac:dyDescent="0.35">
      <c r="A274" t="s">
        <v>8</v>
      </c>
      <c r="B274" t="s">
        <v>9</v>
      </c>
      <c r="C274" t="s">
        <v>13</v>
      </c>
      <c r="D274" s="1">
        <v>45870</v>
      </c>
      <c r="E274" s="3">
        <v>17000</v>
      </c>
      <c r="F274" t="str">
        <f>+TRIM(B274)</f>
        <v>Cobalt Networks</v>
      </c>
      <c r="G274" t="str" cm="1">
        <f t="array" ref="G274">_xlfn.IFS(
  ISNUMBER(SEARCH("Core", C274)), "Core Platform",
  ISNUMBER(SEARCH("Analytics", C274)), "Analytics",
  ISNUMBER(SEARCH("Automation", C274)), "Automation"
)</f>
        <v>Automation</v>
      </c>
    </row>
    <row r="275" spans="1:7" x14ac:dyDescent="0.35">
      <c r="A275" t="s">
        <v>87</v>
      </c>
      <c r="B275" t="s">
        <v>88</v>
      </c>
      <c r="C275" t="s">
        <v>28</v>
      </c>
      <c r="D275" s="1">
        <v>45717</v>
      </c>
      <c r="E275" s="3">
        <v>73000</v>
      </c>
      <c r="F275" t="str">
        <f>+TRIM(B275)</f>
        <v>Brightway Solar</v>
      </c>
      <c r="G275" t="str" cm="1">
        <f t="array" ref="G275">_xlfn.IFS(
  ISNUMBER(SEARCH("Core", C275)), "Core Platform",
  ISNUMBER(SEARCH("Analytics", C275)), "Analytics",
  ISNUMBER(SEARCH("Automation", C275)), "Automation"
)</f>
        <v>Core Platform</v>
      </c>
    </row>
    <row r="276" spans="1:7" x14ac:dyDescent="0.35">
      <c r="A276" t="s">
        <v>14</v>
      </c>
      <c r="B276" t="s">
        <v>15</v>
      </c>
      <c r="C276" t="s">
        <v>16</v>
      </c>
      <c r="D276" s="1">
        <v>45962</v>
      </c>
      <c r="E276" s="3">
        <v>62000</v>
      </c>
      <c r="F276" t="str">
        <f>+TRIM(B276)</f>
        <v>Willowbrook Care</v>
      </c>
      <c r="G276" t="str" cm="1">
        <f t="array" ref="G276">_xlfn.IFS(
  ISNUMBER(SEARCH("Core", C276)), "Core Platform",
  ISNUMBER(SEARCH("Analytics", C276)), "Analytics",
  ISNUMBER(SEARCH("Automation", C276)), "Automation"
)</f>
        <v>Core Platform</v>
      </c>
    </row>
    <row r="277" spans="1:7" x14ac:dyDescent="0.35">
      <c r="A277" t="s">
        <v>78</v>
      </c>
      <c r="B277" t="s">
        <v>79</v>
      </c>
      <c r="C277" t="s">
        <v>10</v>
      </c>
      <c r="D277" s="1">
        <v>45992</v>
      </c>
      <c r="E277" s="3">
        <v>17000</v>
      </c>
      <c r="F277" t="str">
        <f>+TRIM(B277)</f>
        <v>Orion Building Systems</v>
      </c>
      <c r="G277" t="str" cm="1">
        <f t="array" ref="G277">_xlfn.IFS(
  ISNUMBER(SEARCH("Core", C277)), "Core Platform",
  ISNUMBER(SEARCH("Analytics", C277)), "Analytics",
  ISNUMBER(SEARCH("Automation", C277)), "Automation"
)</f>
        <v>Analytics</v>
      </c>
    </row>
    <row r="278" spans="1:7" x14ac:dyDescent="0.35">
      <c r="A278" t="s">
        <v>100</v>
      </c>
      <c r="B278" t="s">
        <v>101</v>
      </c>
      <c r="C278" t="s">
        <v>28</v>
      </c>
      <c r="D278" s="1">
        <v>45992</v>
      </c>
      <c r="E278" s="3">
        <v>88000</v>
      </c>
      <c r="F278" t="str">
        <f>+TRIM(B278)</f>
        <v>Pentland Ports</v>
      </c>
      <c r="G278" t="str" cm="1">
        <f t="array" ref="G278">_xlfn.IFS(
  ISNUMBER(SEARCH("Core", C278)), "Core Platform",
  ISNUMBER(SEARCH("Analytics", C278)), "Analytics",
  ISNUMBER(SEARCH("Automation", C278)), "Automation"
)</f>
        <v>Core Platform</v>
      </c>
    </row>
    <row r="279" spans="1:7" x14ac:dyDescent="0.35">
      <c r="A279" t="s">
        <v>68</v>
      </c>
      <c r="B279" t="s">
        <v>69</v>
      </c>
      <c r="C279" t="s">
        <v>28</v>
      </c>
      <c r="D279" s="1">
        <v>45839</v>
      </c>
      <c r="E279" s="3">
        <v>35000</v>
      </c>
      <c r="F279" t="str">
        <f>+TRIM(B279)</f>
        <v>Silverline Rail</v>
      </c>
      <c r="G279" t="str" cm="1">
        <f t="array" ref="G279">_xlfn.IFS(
  ISNUMBER(SEARCH("Core", C279)), "Core Platform",
  ISNUMBER(SEARCH("Analytics", C279)), "Analytics",
  ISNUMBER(SEARCH("Automation", C279)), "Automation"
)</f>
        <v>Core Platform</v>
      </c>
    </row>
    <row r="280" spans="1:7" x14ac:dyDescent="0.35">
      <c r="A280" t="s">
        <v>84</v>
      </c>
      <c r="B280" t="s">
        <v>85</v>
      </c>
      <c r="C280" t="s">
        <v>28</v>
      </c>
      <c r="D280" s="1">
        <v>45931</v>
      </c>
      <c r="E280" s="3">
        <v>44000</v>
      </c>
      <c r="F280" t="str">
        <f>+TRIM(B280)</f>
        <v>Timberline Landscaping</v>
      </c>
      <c r="G280" t="str" cm="1">
        <f t="array" ref="G280">_xlfn.IFS(
  ISNUMBER(SEARCH("Core", C280)), "Core Platform",
  ISNUMBER(SEARCH("Analytics", C280)), "Analytics",
  ISNUMBER(SEARCH("Automation", C280)), "Automation"
)</f>
        <v>Core Platform</v>
      </c>
    </row>
    <row r="281" spans="1:7" x14ac:dyDescent="0.35">
      <c r="A281" t="s">
        <v>33</v>
      </c>
      <c r="B281" t="s">
        <v>34</v>
      </c>
      <c r="C281" t="s">
        <v>16</v>
      </c>
      <c r="D281" s="1">
        <v>45778</v>
      </c>
      <c r="E281" s="3">
        <v>66000</v>
      </c>
      <c r="F281" t="str">
        <f>+TRIM(B281)</f>
        <v>Sandstone Roofing</v>
      </c>
      <c r="G281" t="str" cm="1">
        <f t="array" ref="G281">_xlfn.IFS(
  ISNUMBER(SEARCH("Core", C281)), "Core Platform",
  ISNUMBER(SEARCH("Analytics", C281)), "Analytics",
  ISNUMBER(SEARCH("Automation", C281)), "Automation"
)</f>
        <v>Core Platform</v>
      </c>
    </row>
    <row r="282" spans="1:7" x14ac:dyDescent="0.35">
      <c r="A282" t="s">
        <v>51</v>
      </c>
      <c r="B282" t="s">
        <v>52</v>
      </c>
      <c r="C282" t="s">
        <v>10</v>
      </c>
      <c r="D282" s="1">
        <v>45689</v>
      </c>
      <c r="E282" s="3">
        <v>27000</v>
      </c>
      <c r="F282" t="str">
        <f>+TRIM(B282)</f>
        <v>Cedar Peak Utilities</v>
      </c>
      <c r="G282" t="str" cm="1">
        <f t="array" ref="G282">_xlfn.IFS(
  ISNUMBER(SEARCH("Core", C282)), "Core Platform",
  ISNUMBER(SEARCH("Analytics", C282)), "Analytics",
  ISNUMBER(SEARCH("Automation", C282)), "Automation"
)</f>
        <v>Analytics</v>
      </c>
    </row>
    <row r="283" spans="1:7" x14ac:dyDescent="0.35">
      <c r="A283" t="s">
        <v>78</v>
      </c>
      <c r="B283" t="s">
        <v>79</v>
      </c>
      <c r="C283" t="s">
        <v>16</v>
      </c>
      <c r="D283" s="1">
        <v>45931</v>
      </c>
      <c r="E283" s="3">
        <v>49000</v>
      </c>
      <c r="F283" t="str">
        <f>+TRIM(B283)</f>
        <v>Orion Building Systems</v>
      </c>
      <c r="G283" t="str" cm="1">
        <f t="array" ref="G283">_xlfn.IFS(
  ISNUMBER(SEARCH("Core", C283)), "Core Platform",
  ISNUMBER(SEARCH("Analytics", C283)), "Analytics",
  ISNUMBER(SEARCH("Automation", C283)), "Automation"
)</f>
        <v>Core Platform</v>
      </c>
    </row>
    <row r="284" spans="1:7" x14ac:dyDescent="0.35">
      <c r="A284" t="s">
        <v>57</v>
      </c>
      <c r="B284" t="s">
        <v>58</v>
      </c>
      <c r="C284" t="s">
        <v>28</v>
      </c>
      <c r="D284" s="1">
        <v>45839</v>
      </c>
      <c r="E284" s="3">
        <v>52000</v>
      </c>
      <c r="F284" t="str">
        <f>+TRIM(B284)</f>
        <v>Everest Drilling</v>
      </c>
      <c r="G284" t="str" cm="1">
        <f t="array" ref="G284">_xlfn.IFS(
  ISNUMBER(SEARCH("Core", C284)), "Core Platform",
  ISNUMBER(SEARCH("Analytics", C284)), "Analytics",
  ISNUMBER(SEARCH("Automation", C284)), "Automation"
)</f>
        <v>Core Platform</v>
      </c>
    </row>
    <row r="285" spans="1:7" x14ac:dyDescent="0.35">
      <c r="A285" t="s">
        <v>70</v>
      </c>
      <c r="B285" t="s">
        <v>71</v>
      </c>
      <c r="C285" t="s">
        <v>16</v>
      </c>
      <c r="D285" s="1">
        <v>45658</v>
      </c>
      <c r="E285" s="3">
        <v>85000</v>
      </c>
      <c r="F285" t="str">
        <f>+TRIM(B285)</f>
        <v>Vertex Manufacturing</v>
      </c>
      <c r="G285" t="str" cm="1">
        <f t="array" ref="G285">_xlfn.IFS(
  ISNUMBER(SEARCH("Core", C285)), "Core Platform",
  ISNUMBER(SEARCH("Analytics", C285)), "Analytics",
  ISNUMBER(SEARCH("Automation", C285)), "Automation"
)</f>
        <v>Core Platform</v>
      </c>
    </row>
    <row r="286" spans="1:7" x14ac:dyDescent="0.35">
      <c r="A286" t="s">
        <v>29</v>
      </c>
      <c r="B286" t="s">
        <v>46</v>
      </c>
      <c r="C286" t="s">
        <v>65</v>
      </c>
      <c r="D286" s="1">
        <v>45870</v>
      </c>
      <c r="E286" s="3">
        <v>36000</v>
      </c>
      <c r="F286" t="str">
        <f>+TRIM(B286)</f>
        <v>Atlas Elevator Co</v>
      </c>
      <c r="G286" t="str" cm="1">
        <f t="array" ref="G286">_xlfn.IFS(
  ISNUMBER(SEARCH("Core", C286)), "Core Platform",
  ISNUMBER(SEARCH("Analytics", C286)), "Analytics",
  ISNUMBER(SEARCH("Automation", C286)), "Automation"
)</f>
        <v>Analytics</v>
      </c>
    </row>
    <row r="287" spans="1:7" x14ac:dyDescent="0.35">
      <c r="A287" t="s">
        <v>62</v>
      </c>
      <c r="B287" t="s">
        <v>63</v>
      </c>
      <c r="C287" t="s">
        <v>28</v>
      </c>
      <c r="D287" s="1">
        <v>45627</v>
      </c>
      <c r="E287" s="3">
        <v>62000</v>
      </c>
      <c r="F287" t="str">
        <f>+TRIM(B287)</f>
        <v>Copperfield Electrical</v>
      </c>
      <c r="G287" t="str" cm="1">
        <f t="array" ref="G287">_xlfn.IFS(
  ISNUMBER(SEARCH("Core", C287)), "Core Platform",
  ISNUMBER(SEARCH("Analytics", C287)), "Analytics",
  ISNUMBER(SEARCH("Automation", C287)), "Automation"
)</f>
        <v>Core Platform</v>
      </c>
    </row>
    <row r="288" spans="1:7" x14ac:dyDescent="0.35">
      <c r="A288" t="s">
        <v>89</v>
      </c>
      <c r="B288" t="s">
        <v>94</v>
      </c>
      <c r="C288" t="s">
        <v>28</v>
      </c>
      <c r="D288" s="1">
        <v>45931</v>
      </c>
      <c r="E288" s="3">
        <v>71000</v>
      </c>
      <c r="F288" t="str">
        <f>+TRIM(B288)</f>
        <v>Riverbend Agriculture</v>
      </c>
      <c r="G288" t="str" cm="1">
        <f t="array" ref="G288">_xlfn.IFS(
  ISNUMBER(SEARCH("Core", C288)), "Core Platform",
  ISNUMBER(SEARCH("Analytics", C288)), "Analytics",
  ISNUMBER(SEARCH("Automation", C288)), "Automation"
)</f>
        <v>Core Platform</v>
      </c>
    </row>
    <row r="289" spans="1:7" x14ac:dyDescent="0.35">
      <c r="A289" t="s">
        <v>39</v>
      </c>
      <c r="B289" t="s">
        <v>40</v>
      </c>
      <c r="C289" t="s">
        <v>16</v>
      </c>
      <c r="D289" s="1">
        <v>45627</v>
      </c>
      <c r="E289" s="3">
        <v>60000</v>
      </c>
      <c r="F289" t="str">
        <f>+TRIM(B289)</f>
        <v>Foundry Industrial</v>
      </c>
      <c r="G289" t="str" cm="1">
        <f t="array" ref="G289">_xlfn.IFS(
  ISNUMBER(SEARCH("Core", C289)), "Core Platform",
  ISNUMBER(SEARCH("Analytics", C289)), "Analytics",
  ISNUMBER(SEARCH("Automation", C289)), "Automation"
)</f>
        <v>Core Platform</v>
      </c>
    </row>
    <row r="290" spans="1:7" x14ac:dyDescent="0.35">
      <c r="A290" t="s">
        <v>60</v>
      </c>
      <c r="B290" t="s">
        <v>61</v>
      </c>
      <c r="C290" t="s">
        <v>50</v>
      </c>
      <c r="D290" s="1">
        <v>45839</v>
      </c>
      <c r="E290" s="3">
        <v>18000</v>
      </c>
      <c r="F290" t="str">
        <f>+TRIM(B290)</f>
        <v>Redwood Field Services</v>
      </c>
      <c r="G290" t="str" cm="1">
        <f t="array" ref="G290">_xlfn.IFS(
  ISNUMBER(SEARCH("Core", C290)), "Core Platform",
  ISNUMBER(SEARCH("Analytics", C290)), "Analytics",
  ISNUMBER(SEARCH("Automation", C290)), "Automation"
)</f>
        <v>Automation</v>
      </c>
    </row>
    <row r="291" spans="1:7" x14ac:dyDescent="0.35">
      <c r="A291" t="s">
        <v>57</v>
      </c>
      <c r="B291" t="s">
        <v>58</v>
      </c>
      <c r="C291" t="s">
        <v>28</v>
      </c>
      <c r="D291" s="1">
        <v>45901</v>
      </c>
      <c r="E291" s="3">
        <v>52000</v>
      </c>
      <c r="F291" t="str">
        <f>+TRIM(B291)</f>
        <v>Everest Drilling</v>
      </c>
      <c r="G291" t="str" cm="1">
        <f t="array" ref="G291">_xlfn.IFS(
  ISNUMBER(SEARCH("Core", C291)), "Core Platform",
  ISNUMBER(SEARCH("Analytics", C291)), "Analytics",
  ISNUMBER(SEARCH("Automation", C291)), "Automation"
)</f>
        <v>Core Platform</v>
      </c>
    </row>
    <row r="292" spans="1:7" x14ac:dyDescent="0.35">
      <c r="A292" t="s">
        <v>5</v>
      </c>
      <c r="B292" t="s">
        <v>6</v>
      </c>
      <c r="C292" t="s">
        <v>10</v>
      </c>
      <c r="D292" s="1">
        <v>45809</v>
      </c>
      <c r="E292" s="3">
        <v>24000</v>
      </c>
      <c r="F292" t="str">
        <f>+TRIM(B292)</f>
        <v>Meridian Water Group</v>
      </c>
      <c r="G292" t="str" cm="1">
        <f t="array" ref="G292">_xlfn.IFS(
  ISNUMBER(SEARCH("Core", C292)), "Core Platform",
  ISNUMBER(SEARCH("Analytics", C292)), "Analytics",
  ISNUMBER(SEARCH("Automation", C292)), "Automation"
)</f>
        <v>Analytics</v>
      </c>
    </row>
    <row r="293" spans="1:7" x14ac:dyDescent="0.35">
      <c r="A293" t="s">
        <v>72</v>
      </c>
      <c r="B293" t="s">
        <v>73</v>
      </c>
      <c r="C293" t="s">
        <v>10</v>
      </c>
      <c r="D293" s="1">
        <v>45870</v>
      </c>
      <c r="E293" s="3">
        <v>33000</v>
      </c>
      <c r="F293" t="str">
        <f>+TRIM(B293)</f>
        <v>Northwind Trading</v>
      </c>
      <c r="G293" t="str" cm="1">
        <f t="array" ref="G293">_xlfn.IFS(
  ISNUMBER(SEARCH("Core", C293)), "Core Platform",
  ISNUMBER(SEARCH("Analytics", C293)), "Analytics",
  ISNUMBER(SEARCH("Automation", C293)), "Automation"
)</f>
        <v>Analytics</v>
      </c>
    </row>
    <row r="294" spans="1:7" x14ac:dyDescent="0.35">
      <c r="A294" t="s">
        <v>26</v>
      </c>
      <c r="B294" t="s">
        <v>27</v>
      </c>
      <c r="C294" t="s">
        <v>10</v>
      </c>
      <c r="D294" s="1">
        <v>45992</v>
      </c>
      <c r="E294" s="3">
        <v>25000</v>
      </c>
      <c r="F294" t="str">
        <f>+TRIM(B294)</f>
        <v>Blue Harbor Logistics</v>
      </c>
      <c r="G294" t="str" cm="1">
        <f t="array" ref="G294">_xlfn.IFS(
  ISNUMBER(SEARCH("Core", C294)), "Core Platform",
  ISNUMBER(SEARCH("Analytics", C294)), "Analytics",
  ISNUMBER(SEARCH("Automation", C294)), "Automation"
)</f>
        <v>Analytics</v>
      </c>
    </row>
    <row r="295" spans="1:7" x14ac:dyDescent="0.35">
      <c r="A295" t="s">
        <v>78</v>
      </c>
      <c r="B295" t="s">
        <v>79</v>
      </c>
      <c r="C295" t="s">
        <v>21</v>
      </c>
      <c r="D295" s="1">
        <v>45992</v>
      </c>
      <c r="E295" s="3">
        <v>28000</v>
      </c>
      <c r="F295" t="str">
        <f>+TRIM(B295)</f>
        <v>Orion Building Systems</v>
      </c>
      <c r="G295" t="str" cm="1">
        <f t="array" ref="G295">_xlfn.IFS(
  ISNUMBER(SEARCH("Core", C295)), "Core Platform",
  ISNUMBER(SEARCH("Analytics", C295)), "Analytics",
  ISNUMBER(SEARCH("Automation", C295)), "Automation"
)</f>
        <v>Automation</v>
      </c>
    </row>
    <row r="296" spans="1:7" x14ac:dyDescent="0.35">
      <c r="A296" t="s">
        <v>70</v>
      </c>
      <c r="B296" t="s">
        <v>71</v>
      </c>
      <c r="C296" t="s">
        <v>7</v>
      </c>
      <c r="D296" s="1">
        <v>45962</v>
      </c>
      <c r="E296" s="3">
        <v>27000</v>
      </c>
      <c r="F296" t="str">
        <f>+TRIM(B296)</f>
        <v>Vertex Manufacturing</v>
      </c>
      <c r="G296" t="str" cm="1">
        <f t="array" ref="G296">_xlfn.IFS(
  ISNUMBER(SEARCH("Core", C296)), "Core Platform",
  ISNUMBER(SEARCH("Analytics", C296)), "Analytics",
  ISNUMBER(SEARCH("Automation", C296)), "Automation"
)</f>
        <v>Analytics</v>
      </c>
    </row>
    <row r="297" spans="1:7" x14ac:dyDescent="0.35">
      <c r="A297" t="s">
        <v>33</v>
      </c>
      <c r="B297" t="s">
        <v>34</v>
      </c>
      <c r="C297" t="s">
        <v>28</v>
      </c>
      <c r="D297" s="1">
        <v>45839</v>
      </c>
      <c r="E297" s="3">
        <v>66000</v>
      </c>
      <c r="F297" t="str">
        <f>+TRIM(B297)</f>
        <v>Sandstone Roofing</v>
      </c>
      <c r="G297" t="str" cm="1">
        <f t="array" ref="G297">_xlfn.IFS(
  ISNUMBER(SEARCH("Core", C297)), "Core Platform",
  ISNUMBER(SEARCH("Analytics", C297)), "Analytics",
  ISNUMBER(SEARCH("Automation", C297)), "Automation"
)</f>
        <v>Core Platform</v>
      </c>
    </row>
    <row r="298" spans="1:7" x14ac:dyDescent="0.35">
      <c r="A298" t="s">
        <v>19</v>
      </c>
      <c r="B298" t="s">
        <v>20</v>
      </c>
      <c r="C298" t="s">
        <v>7</v>
      </c>
      <c r="D298" s="1">
        <v>45992</v>
      </c>
      <c r="E298" s="3">
        <v>30000</v>
      </c>
      <c r="F298" t="str">
        <f>+TRIM(B298)</f>
        <v>Granite State Mechanical</v>
      </c>
      <c r="G298" t="str" cm="1">
        <f t="array" ref="G298">_xlfn.IFS(
  ISNUMBER(SEARCH("Core", C298)), "Core Platform",
  ISNUMBER(SEARCH("Analytics", C298)), "Analytics",
  ISNUMBER(SEARCH("Automation", C298)), "Automation"
)</f>
        <v>Analytics</v>
      </c>
    </row>
    <row r="299" spans="1:7" x14ac:dyDescent="0.35">
      <c r="A299" t="s">
        <v>17</v>
      </c>
      <c r="B299" t="s">
        <v>18</v>
      </c>
      <c r="C299" t="s">
        <v>16</v>
      </c>
      <c r="D299" s="1">
        <v>45689</v>
      </c>
      <c r="E299" s="3">
        <v>90000</v>
      </c>
      <c r="F299" t="str">
        <f>+TRIM(B299)</f>
        <v>Ironclad Security</v>
      </c>
      <c r="G299" t="str" cm="1">
        <f t="array" ref="G299">_xlfn.IFS(
  ISNUMBER(SEARCH("Core", C299)), "Core Platform",
  ISNUMBER(SEARCH("Analytics", C299)), "Analytics",
  ISNUMBER(SEARCH("Automation", C299)), "Automation"
)</f>
        <v>Core Platform</v>
      </c>
    </row>
    <row r="300" spans="1:7" x14ac:dyDescent="0.35">
      <c r="A300" t="s">
        <v>14</v>
      </c>
      <c r="B300" t="s">
        <v>15</v>
      </c>
      <c r="C300" t="s">
        <v>16</v>
      </c>
      <c r="D300" s="1">
        <v>45748</v>
      </c>
      <c r="E300" s="3">
        <v>66000</v>
      </c>
      <c r="F300" t="str">
        <f>+TRIM(B300)</f>
        <v>Willowbrook Care</v>
      </c>
      <c r="G300" t="str" cm="1">
        <f t="array" ref="G300">_xlfn.IFS(
  ISNUMBER(SEARCH("Core", C300)), "Core Platform",
  ISNUMBER(SEARCH("Analytics", C300)), "Analytics",
  ISNUMBER(SEARCH("Automation", C300)), "Automation"
)</f>
        <v>Core Platform</v>
      </c>
    </row>
    <row r="301" spans="1:7" x14ac:dyDescent="0.35">
      <c r="A301" t="s">
        <v>78</v>
      </c>
      <c r="B301" t="s">
        <v>79</v>
      </c>
      <c r="C301" t="s">
        <v>50</v>
      </c>
      <c r="D301" s="1">
        <v>45962</v>
      </c>
      <c r="E301" s="3">
        <v>28000</v>
      </c>
      <c r="F301" t="str">
        <f>+TRIM(B301)</f>
        <v>Orion Building Systems</v>
      </c>
      <c r="G301" t="str" cm="1">
        <f t="array" ref="G301">_xlfn.IFS(
  ISNUMBER(SEARCH("Core", C301)), "Core Platform",
  ISNUMBER(SEARCH("Analytics", C301)), "Analytics",
  ISNUMBER(SEARCH("Automation", C301)), "Automation"
)</f>
        <v>Automation</v>
      </c>
    </row>
    <row r="302" spans="1:7" x14ac:dyDescent="0.35">
      <c r="A302" t="s">
        <v>5</v>
      </c>
      <c r="B302" t="s">
        <v>6</v>
      </c>
      <c r="C302" t="s">
        <v>7</v>
      </c>
      <c r="D302" s="1">
        <v>45931</v>
      </c>
      <c r="E302" s="3">
        <v>24000</v>
      </c>
      <c r="F302" t="str">
        <f>+TRIM(B302)</f>
        <v>Meridian Water Group</v>
      </c>
      <c r="G302" t="str" cm="1">
        <f t="array" ref="G302">_xlfn.IFS(
  ISNUMBER(SEARCH("Core", C302)), "Core Platform",
  ISNUMBER(SEARCH("Analytics", C302)), "Analytics",
  ISNUMBER(SEARCH("Automation", C302)), "Automation"
)</f>
        <v>Analytics</v>
      </c>
    </row>
    <row r="303" spans="1:7" x14ac:dyDescent="0.35">
      <c r="A303" t="s">
        <v>51</v>
      </c>
      <c r="B303" t="s">
        <v>52</v>
      </c>
      <c r="C303" t="s">
        <v>21</v>
      </c>
      <c r="D303" s="1">
        <v>45627</v>
      </c>
      <c r="E303" s="3">
        <v>21000</v>
      </c>
      <c r="F303" t="str">
        <f>+TRIM(B303)</f>
        <v>Cedar Peak Utilities</v>
      </c>
      <c r="G303" t="str" cm="1">
        <f t="array" ref="G303">_xlfn.IFS(
  ISNUMBER(SEARCH("Core", C303)), "Core Platform",
  ISNUMBER(SEARCH("Analytics", C303)), "Analytics",
  ISNUMBER(SEARCH("Automation", C303)), "Automation"
)</f>
        <v>Automation</v>
      </c>
    </row>
    <row r="304" spans="1:7" x14ac:dyDescent="0.35">
      <c r="A304" t="s">
        <v>17</v>
      </c>
      <c r="B304" t="s">
        <v>18</v>
      </c>
      <c r="C304" t="s">
        <v>10</v>
      </c>
      <c r="D304" s="1">
        <v>45870</v>
      </c>
      <c r="E304" s="3">
        <v>36000</v>
      </c>
      <c r="F304" t="str">
        <f>+TRIM(B304)</f>
        <v>Ironclad Security</v>
      </c>
      <c r="G304" t="str" cm="1">
        <f t="array" ref="G304">_xlfn.IFS(
  ISNUMBER(SEARCH("Core", C304)), "Core Platform",
  ISNUMBER(SEARCH("Analytics", C304)), "Analytics",
  ISNUMBER(SEARCH("Automation", C304)), "Automation"
)</f>
        <v>Analytics</v>
      </c>
    </row>
    <row r="305" spans="1:7" x14ac:dyDescent="0.35">
      <c r="A305" t="s">
        <v>66</v>
      </c>
      <c r="B305" t="s">
        <v>67</v>
      </c>
      <c r="C305" t="s">
        <v>28</v>
      </c>
      <c r="D305" s="1">
        <v>45931</v>
      </c>
      <c r="E305" s="3">
        <v>95000</v>
      </c>
      <c r="F305" t="str">
        <f>+TRIM(B305)</f>
        <v>Beacon Environmental</v>
      </c>
      <c r="G305" t="str" cm="1">
        <f t="array" ref="G305">_xlfn.IFS(
  ISNUMBER(SEARCH("Core", C305)), "Core Platform",
  ISNUMBER(SEARCH("Analytics", C305)), "Analytics",
  ISNUMBER(SEARCH("Automation", C305)), "Automation"
)</f>
        <v>Core Platform</v>
      </c>
    </row>
    <row r="306" spans="1:7" x14ac:dyDescent="0.35">
      <c r="A306" t="s">
        <v>43</v>
      </c>
      <c r="B306" t="s">
        <v>44</v>
      </c>
      <c r="C306" t="s">
        <v>10</v>
      </c>
      <c r="D306" s="1">
        <v>45748</v>
      </c>
      <c r="E306" s="3">
        <v>22000</v>
      </c>
      <c r="F306" t="str">
        <f>+TRIM(B306)</f>
        <v>Harborview Plumbing</v>
      </c>
      <c r="G306" t="str" cm="1">
        <f t="array" ref="G306">_xlfn.IFS(
  ISNUMBER(SEARCH("Core", C306)), "Core Platform",
  ISNUMBER(SEARCH("Analytics", C306)), "Analytics",
  ISNUMBER(SEARCH("Automation", C306)), "Automation"
)</f>
        <v>Analytics</v>
      </c>
    </row>
    <row r="307" spans="1:7" x14ac:dyDescent="0.35">
      <c r="A307" t="s">
        <v>26</v>
      </c>
      <c r="B307" t="s">
        <v>27</v>
      </c>
      <c r="C307" t="s">
        <v>16</v>
      </c>
      <c r="D307" s="1">
        <v>45717</v>
      </c>
      <c r="E307" s="3">
        <v>58000</v>
      </c>
      <c r="F307" t="str">
        <f>+TRIM(B307)</f>
        <v>Blue Harbor Logistics</v>
      </c>
      <c r="G307" t="str" cm="1">
        <f t="array" ref="G307">_xlfn.IFS(
  ISNUMBER(SEARCH("Core", C307)), "Core Platform",
  ISNUMBER(SEARCH("Analytics", C307)), "Analytics",
  ISNUMBER(SEARCH("Automation", C307)), "Automation"
)</f>
        <v>Core Platform</v>
      </c>
    </row>
    <row r="308" spans="1:7" x14ac:dyDescent="0.35">
      <c r="A308" t="s">
        <v>51</v>
      </c>
      <c r="B308" t="s">
        <v>52</v>
      </c>
      <c r="C308" t="s">
        <v>28</v>
      </c>
      <c r="D308" s="1">
        <v>45658</v>
      </c>
      <c r="E308" s="3">
        <v>38000</v>
      </c>
      <c r="F308" t="str">
        <f>+TRIM(B308)</f>
        <v>Cedar Peak Utilities</v>
      </c>
      <c r="G308" t="str" cm="1">
        <f t="array" ref="G308">_xlfn.IFS(
  ISNUMBER(SEARCH("Core", C308)), "Core Platform",
  ISNUMBER(SEARCH("Analytics", C308)), "Analytics",
  ISNUMBER(SEARCH("Automation", C308)), "Automation"
)</f>
        <v>Core Platform</v>
      </c>
    </row>
    <row r="309" spans="1:7" x14ac:dyDescent="0.35">
      <c r="A309" t="s">
        <v>24</v>
      </c>
      <c r="B309" t="s">
        <v>45</v>
      </c>
      <c r="C309" t="s">
        <v>28</v>
      </c>
      <c r="D309" s="1">
        <v>45809</v>
      </c>
      <c r="E309" s="3">
        <v>100000</v>
      </c>
      <c r="F309" t="str">
        <f>+TRIM(B309)</f>
        <v>Kestrel Telecom</v>
      </c>
      <c r="G309" t="str" cm="1">
        <f t="array" ref="G309">_xlfn.IFS(
  ISNUMBER(SEARCH("Core", C309)), "Core Platform",
  ISNUMBER(SEARCH("Analytics", C309)), "Analytics",
  ISNUMBER(SEARCH("Automation", C309)), "Automation"
)</f>
        <v>Core Platform</v>
      </c>
    </row>
    <row r="310" spans="1:7" x14ac:dyDescent="0.35">
      <c r="A310" t="s">
        <v>19</v>
      </c>
      <c r="B310" t="s">
        <v>20</v>
      </c>
      <c r="C310" t="s">
        <v>10</v>
      </c>
      <c r="D310" s="1">
        <v>45839</v>
      </c>
      <c r="E310" s="3">
        <v>30000</v>
      </c>
      <c r="F310" t="str">
        <f>+TRIM(B310)</f>
        <v>Granite State Mechanical</v>
      </c>
      <c r="G310" t="str" cm="1">
        <f t="array" ref="G310">_xlfn.IFS(
  ISNUMBER(SEARCH("Core", C310)), "Core Platform",
  ISNUMBER(SEARCH("Analytics", C310)), "Analytics",
  ISNUMBER(SEARCH("Automation", C310)), "Automation"
)</f>
        <v>Analytics</v>
      </c>
    </row>
    <row r="311" spans="1:7" x14ac:dyDescent="0.35">
      <c r="A311" t="s">
        <v>74</v>
      </c>
      <c r="B311" t="s">
        <v>75</v>
      </c>
      <c r="C311" t="s">
        <v>28</v>
      </c>
      <c r="D311" s="1">
        <v>45870</v>
      </c>
      <c r="E311" s="3">
        <v>155000</v>
      </c>
      <c r="F311" t="str">
        <f>+TRIM(B311)</f>
        <v>Sterling Facilities</v>
      </c>
      <c r="G311" t="str" cm="1">
        <f t="array" ref="G311">_xlfn.IFS(
  ISNUMBER(SEARCH("Core", C311)), "Core Platform",
  ISNUMBER(SEARCH("Analytics", C311)), "Analytics",
  ISNUMBER(SEARCH("Automation", C311)), "Automation"
)</f>
        <v>Core Platform</v>
      </c>
    </row>
    <row r="312" spans="1:7" x14ac:dyDescent="0.35">
      <c r="A312" t="s">
        <v>70</v>
      </c>
      <c r="B312" t="s">
        <v>71</v>
      </c>
      <c r="C312" t="s">
        <v>50</v>
      </c>
      <c r="D312" s="1">
        <v>45748</v>
      </c>
      <c r="E312" s="3">
        <v>9000</v>
      </c>
      <c r="F312" t="str">
        <f>+TRIM(B312)</f>
        <v>Vertex Manufacturing</v>
      </c>
      <c r="G312" t="str" cm="1">
        <f t="array" ref="G312">_xlfn.IFS(
  ISNUMBER(SEARCH("Core", C312)), "Core Platform",
  ISNUMBER(SEARCH("Analytics", C312)), "Analytics",
  ISNUMBER(SEARCH("Automation", C312)), "Automation"
)</f>
        <v>Automation</v>
      </c>
    </row>
    <row r="313" spans="1:7" x14ac:dyDescent="0.35">
      <c r="A313" t="s">
        <v>17</v>
      </c>
      <c r="B313" t="s">
        <v>18</v>
      </c>
      <c r="C313" t="s">
        <v>65</v>
      </c>
      <c r="D313" s="1">
        <v>45809</v>
      </c>
      <c r="E313" s="3">
        <v>29000</v>
      </c>
      <c r="F313" t="str">
        <f>+TRIM(B313)</f>
        <v>Ironclad Security</v>
      </c>
      <c r="G313" t="str" cm="1">
        <f t="array" ref="G313">_xlfn.IFS(
  ISNUMBER(SEARCH("Core", C313)), "Core Platform",
  ISNUMBER(SEARCH("Analytics", C313)), "Analytics",
  ISNUMBER(SEARCH("Automation", C313)), "Automation"
)</f>
        <v>Analytics</v>
      </c>
    </row>
    <row r="314" spans="1:7" x14ac:dyDescent="0.35">
      <c r="A314" t="s">
        <v>66</v>
      </c>
      <c r="B314" t="s">
        <v>67</v>
      </c>
      <c r="C314" t="s">
        <v>7</v>
      </c>
      <c r="D314" s="1">
        <v>45962</v>
      </c>
      <c r="E314" s="3">
        <v>19000</v>
      </c>
      <c r="F314" t="str">
        <f>+TRIM(B314)</f>
        <v>Beacon Environmental</v>
      </c>
      <c r="G314" t="str" cm="1">
        <f t="array" ref="G314">_xlfn.IFS(
  ISNUMBER(SEARCH("Core", C314)), "Core Platform",
  ISNUMBER(SEARCH("Analytics", C314)), "Analytics",
  ISNUMBER(SEARCH("Automation", C314)), "Automation"
)</f>
        <v>Analytics</v>
      </c>
    </row>
    <row r="315" spans="1:7" x14ac:dyDescent="0.35">
      <c r="A315" t="s">
        <v>19</v>
      </c>
      <c r="B315" t="s">
        <v>20</v>
      </c>
      <c r="C315" t="s">
        <v>10</v>
      </c>
      <c r="D315" s="1">
        <v>45778</v>
      </c>
      <c r="E315" s="3">
        <v>30000</v>
      </c>
      <c r="F315" t="str">
        <f>+TRIM(B315)</f>
        <v>Granite State Mechanical</v>
      </c>
      <c r="G315" t="str" cm="1">
        <f t="array" ref="G315">_xlfn.IFS(
  ISNUMBER(SEARCH("Core", C315)), "Core Platform",
  ISNUMBER(SEARCH("Analytics", C315)), "Analytics",
  ISNUMBER(SEARCH("Automation", C315)), "Automation"
)</f>
        <v>Analytics</v>
      </c>
    </row>
    <row r="316" spans="1:7" x14ac:dyDescent="0.35">
      <c r="A316" t="s">
        <v>24</v>
      </c>
      <c r="B316" t="s">
        <v>45</v>
      </c>
      <c r="C316" t="s">
        <v>10</v>
      </c>
      <c r="D316" s="1">
        <v>45931</v>
      </c>
      <c r="E316" s="3">
        <v>38000</v>
      </c>
      <c r="F316" t="str">
        <f>+TRIM(B316)</f>
        <v>Kestrel Telecom</v>
      </c>
      <c r="G316" t="str" cm="1">
        <f t="array" ref="G316">_xlfn.IFS(
  ISNUMBER(SEARCH("Core", C316)), "Core Platform",
  ISNUMBER(SEARCH("Analytics", C316)), "Analytics",
  ISNUMBER(SEARCH("Automation", C316)), "Automation"
)</f>
        <v>Analytics</v>
      </c>
    </row>
    <row r="317" spans="1:7" x14ac:dyDescent="0.35">
      <c r="A317" t="s">
        <v>66</v>
      </c>
      <c r="B317" t="s">
        <v>67</v>
      </c>
      <c r="C317" t="s">
        <v>16</v>
      </c>
      <c r="D317" s="1">
        <v>45839</v>
      </c>
      <c r="E317" s="3">
        <v>95000</v>
      </c>
      <c r="F317" t="str">
        <f>+TRIM(B317)</f>
        <v>Beacon Environmental</v>
      </c>
      <c r="G317" t="str" cm="1">
        <f t="array" ref="G317">_xlfn.IFS(
  ISNUMBER(SEARCH("Core", C317)), "Core Platform",
  ISNUMBER(SEARCH("Analytics", C317)), "Analytics",
  ISNUMBER(SEARCH("Automation", C317)), "Automation"
)</f>
        <v>Core Platform</v>
      </c>
    </row>
    <row r="318" spans="1:7" x14ac:dyDescent="0.35">
      <c r="A318" t="s">
        <v>17</v>
      </c>
      <c r="B318" t="s">
        <v>18</v>
      </c>
      <c r="C318" t="s">
        <v>28</v>
      </c>
      <c r="D318" s="1">
        <v>45992</v>
      </c>
      <c r="E318" s="3">
        <v>90000</v>
      </c>
      <c r="F318" t="str">
        <f>+TRIM(B318)</f>
        <v>Ironclad Security</v>
      </c>
      <c r="G318" t="str" cm="1">
        <f t="array" ref="G318">_xlfn.IFS(
  ISNUMBER(SEARCH("Core", C318)), "Core Platform",
  ISNUMBER(SEARCH("Analytics", C318)), "Analytics",
  ISNUMBER(SEARCH("Automation", C318)), "Automation"
)</f>
        <v>Core Platform</v>
      </c>
    </row>
    <row r="319" spans="1:7" x14ac:dyDescent="0.35">
      <c r="A319" t="s">
        <v>70</v>
      </c>
      <c r="B319" t="s">
        <v>71</v>
      </c>
      <c r="C319" t="s">
        <v>28</v>
      </c>
      <c r="D319" s="1">
        <v>45931</v>
      </c>
      <c r="E319" s="3">
        <v>85000</v>
      </c>
      <c r="F319" t="str">
        <f>+TRIM(B319)</f>
        <v>Vertex Manufacturing</v>
      </c>
      <c r="G319" t="str" cm="1">
        <f t="array" ref="G319">_xlfn.IFS(
  ISNUMBER(SEARCH("Core", C319)), "Core Platform",
  ISNUMBER(SEARCH("Analytics", C319)), "Analytics",
  ISNUMBER(SEARCH("Automation", C319)), "Automation"
)</f>
        <v>Core Platform</v>
      </c>
    </row>
    <row r="320" spans="1:7" x14ac:dyDescent="0.35">
      <c r="A320" t="s">
        <v>60</v>
      </c>
      <c r="B320" t="s">
        <v>61</v>
      </c>
      <c r="C320" t="s">
        <v>28</v>
      </c>
      <c r="D320" s="1">
        <v>45778</v>
      </c>
      <c r="E320" s="3">
        <v>35000</v>
      </c>
      <c r="F320" t="str">
        <f>+TRIM(B320)</f>
        <v>Redwood Field Services</v>
      </c>
      <c r="G320" t="str" cm="1">
        <f t="array" ref="G320">_xlfn.IFS(
  ISNUMBER(SEARCH("Core", C320)), "Core Platform",
  ISNUMBER(SEARCH("Analytics", C320)), "Analytics",
  ISNUMBER(SEARCH("Automation", C320)), "Automation"
)</f>
        <v>Core Platform</v>
      </c>
    </row>
    <row r="321" spans="1:7" x14ac:dyDescent="0.35">
      <c r="A321" t="s">
        <v>19</v>
      </c>
      <c r="B321" t="s">
        <v>20</v>
      </c>
      <c r="C321" t="s">
        <v>16</v>
      </c>
      <c r="D321" s="1">
        <v>45658</v>
      </c>
      <c r="E321" s="3">
        <v>61000</v>
      </c>
      <c r="F321" t="str">
        <f>+TRIM(B321)</f>
        <v>Granite State Mechanical</v>
      </c>
      <c r="G321" t="str" cm="1">
        <f t="array" ref="G321">_xlfn.IFS(
  ISNUMBER(SEARCH("Core", C321)), "Core Platform",
  ISNUMBER(SEARCH("Analytics", C321)), "Analytics",
  ISNUMBER(SEARCH("Automation", C321)), "Automation"
)</f>
        <v>Core Platform</v>
      </c>
    </row>
    <row r="322" spans="1:7" x14ac:dyDescent="0.35">
      <c r="A322" t="s">
        <v>62</v>
      </c>
      <c r="B322" t="s">
        <v>63</v>
      </c>
      <c r="C322" t="s">
        <v>28</v>
      </c>
      <c r="D322" s="1">
        <v>45962</v>
      </c>
      <c r="E322" s="3">
        <v>36000</v>
      </c>
      <c r="F322" t="str">
        <f>+TRIM(B322)</f>
        <v>Copperfield Electrical</v>
      </c>
      <c r="G322" t="str" cm="1">
        <f t="array" ref="G322">_xlfn.IFS(
  ISNUMBER(SEARCH("Core", C322)), "Core Platform",
  ISNUMBER(SEARCH("Analytics", C322)), "Analytics",
  ISNUMBER(SEARCH("Automation", C322)), "Automation"
)</f>
        <v>Core Platform</v>
      </c>
    </row>
    <row r="323" spans="1:7" x14ac:dyDescent="0.35">
      <c r="A323" t="s">
        <v>53</v>
      </c>
      <c r="B323" t="s">
        <v>54</v>
      </c>
      <c r="C323" t="s">
        <v>10</v>
      </c>
      <c r="D323" s="1">
        <v>45658</v>
      </c>
      <c r="E323" s="3">
        <v>35000</v>
      </c>
      <c r="F323" t="str">
        <f>+TRIM(B323)</f>
        <v>Maple Grove Maintenance</v>
      </c>
      <c r="G323" t="str" cm="1">
        <f t="array" ref="G323">_xlfn.IFS(
  ISNUMBER(SEARCH("Core", C323)), "Core Platform",
  ISNUMBER(SEARCH("Analytics", C323)), "Analytics",
  ISNUMBER(SEARCH("Automation", C323)), "Automation"
)</f>
        <v>Analytics</v>
      </c>
    </row>
    <row r="324" spans="1:7" x14ac:dyDescent="0.35">
      <c r="A324" t="s">
        <v>39</v>
      </c>
      <c r="B324" t="s">
        <v>40</v>
      </c>
      <c r="C324" t="s">
        <v>10</v>
      </c>
      <c r="D324" s="1">
        <v>45931</v>
      </c>
      <c r="E324" s="3">
        <v>31000</v>
      </c>
      <c r="F324" t="str">
        <f>+TRIM(B324)</f>
        <v>Foundry Industrial</v>
      </c>
      <c r="G324" t="str" cm="1">
        <f t="array" ref="G324">_xlfn.IFS(
  ISNUMBER(SEARCH("Core", C324)), "Core Platform",
  ISNUMBER(SEARCH("Analytics", C324)), "Analytics",
  ISNUMBER(SEARCH("Automation", C324)), "Automation"
)</f>
        <v>Analytics</v>
      </c>
    </row>
    <row r="325" spans="1:7" x14ac:dyDescent="0.35">
      <c r="A325" t="s">
        <v>19</v>
      </c>
      <c r="B325" t="s">
        <v>20</v>
      </c>
      <c r="C325" t="s">
        <v>50</v>
      </c>
      <c r="D325" s="1">
        <v>45717</v>
      </c>
      <c r="E325" s="3">
        <v>10000</v>
      </c>
      <c r="F325" t="str">
        <f>+TRIM(B325)</f>
        <v>Granite State Mechanical</v>
      </c>
      <c r="G325" t="str" cm="1">
        <f t="array" ref="G325">_xlfn.IFS(
  ISNUMBER(SEARCH("Core", C325)), "Core Platform",
  ISNUMBER(SEARCH("Analytics", C325)), "Analytics",
  ISNUMBER(SEARCH("Automation", C325)), "Automation"
)</f>
        <v>Automation</v>
      </c>
    </row>
    <row r="326" spans="1:7" x14ac:dyDescent="0.35">
      <c r="A326" t="s">
        <v>17</v>
      </c>
      <c r="B326" t="s">
        <v>18</v>
      </c>
      <c r="C326" t="s">
        <v>21</v>
      </c>
      <c r="D326" s="1">
        <v>45689</v>
      </c>
      <c r="E326" s="3">
        <v>8000</v>
      </c>
      <c r="F326" t="str">
        <f>+TRIM(B326)</f>
        <v>Ironclad Security</v>
      </c>
      <c r="G326" t="str" cm="1">
        <f t="array" ref="G326">_xlfn.IFS(
  ISNUMBER(SEARCH("Core", C326)), "Core Platform",
  ISNUMBER(SEARCH("Analytics", C326)), "Analytics",
  ISNUMBER(SEARCH("Automation", C326)), "Automation"
)</f>
        <v>Automation</v>
      </c>
    </row>
    <row r="327" spans="1:7" x14ac:dyDescent="0.35">
      <c r="A327" t="s">
        <v>14</v>
      </c>
      <c r="B327" t="s">
        <v>15</v>
      </c>
      <c r="C327" t="s">
        <v>16</v>
      </c>
      <c r="D327" s="1">
        <v>45717</v>
      </c>
      <c r="E327" s="3">
        <v>66000</v>
      </c>
      <c r="F327" t="str">
        <f>+TRIM(B327)</f>
        <v>Willowbrook Care</v>
      </c>
      <c r="G327" t="str" cm="1">
        <f t="array" ref="G327">_xlfn.IFS(
  ISNUMBER(SEARCH("Core", C327)), "Core Platform",
  ISNUMBER(SEARCH("Analytics", C327)), "Analytics",
  ISNUMBER(SEARCH("Automation", C327)), "Automation"
)</f>
        <v>Core Platform</v>
      </c>
    </row>
    <row r="328" spans="1:7" x14ac:dyDescent="0.35">
      <c r="A328" t="s">
        <v>74</v>
      </c>
      <c r="B328" t="s">
        <v>75</v>
      </c>
      <c r="C328" t="s">
        <v>28</v>
      </c>
      <c r="D328" s="1">
        <v>45992</v>
      </c>
      <c r="E328" s="3">
        <v>155000</v>
      </c>
      <c r="F328" t="str">
        <f>+TRIM(B328)</f>
        <v>Sterling Facilities</v>
      </c>
      <c r="G328" t="str" cm="1">
        <f t="array" ref="G328">_xlfn.IFS(
  ISNUMBER(SEARCH("Core", C328)), "Core Platform",
  ISNUMBER(SEARCH("Analytics", C328)), "Analytics",
  ISNUMBER(SEARCH("Automation", C328)), "Automation"
)</f>
        <v>Core Platform</v>
      </c>
    </row>
    <row r="329" spans="1:7" x14ac:dyDescent="0.35">
      <c r="A329" t="s">
        <v>26</v>
      </c>
      <c r="B329" t="s">
        <v>27</v>
      </c>
      <c r="C329" t="s">
        <v>16</v>
      </c>
      <c r="D329" s="1">
        <v>45748</v>
      </c>
      <c r="E329" s="3">
        <v>58000</v>
      </c>
      <c r="F329" t="str">
        <f>+TRIM(B329)</f>
        <v>Blue Harbor Logistics</v>
      </c>
      <c r="G329" t="str" cm="1">
        <f t="array" ref="G329">_xlfn.IFS(
  ISNUMBER(SEARCH("Core", C329)), "Core Platform",
  ISNUMBER(SEARCH("Analytics", C329)), "Analytics",
  ISNUMBER(SEARCH("Automation", C329)), "Automation"
)</f>
        <v>Core Platform</v>
      </c>
    </row>
    <row r="330" spans="1:7" x14ac:dyDescent="0.35">
      <c r="A330" t="s">
        <v>8</v>
      </c>
      <c r="B330" t="s">
        <v>9</v>
      </c>
      <c r="C330" t="s">
        <v>16</v>
      </c>
      <c r="D330" s="1">
        <v>45901</v>
      </c>
      <c r="E330" s="3">
        <v>70000</v>
      </c>
      <c r="F330" t="str">
        <f>+TRIM(B330)</f>
        <v>Cobalt Networks</v>
      </c>
      <c r="G330" t="str" cm="1">
        <f t="array" ref="G330">_xlfn.IFS(
  ISNUMBER(SEARCH("Core", C330)), "Core Platform",
  ISNUMBER(SEARCH("Analytics", C330)), "Analytics",
  ISNUMBER(SEARCH("Automation", C330)), "Automation"
)</f>
        <v>Core Platform</v>
      </c>
    </row>
    <row r="331" spans="1:7" x14ac:dyDescent="0.35">
      <c r="A331" t="s">
        <v>41</v>
      </c>
      <c r="B331" t="s">
        <v>42</v>
      </c>
      <c r="C331" t="s">
        <v>16</v>
      </c>
      <c r="D331" s="1">
        <v>45901</v>
      </c>
      <c r="E331" s="3">
        <v>102000</v>
      </c>
      <c r="F331" t="str">
        <f>+TRIM(B331)</f>
        <v>Delta Refrigeration</v>
      </c>
      <c r="G331" t="str" cm="1">
        <f t="array" ref="G331">_xlfn.IFS(
  ISNUMBER(SEARCH("Core", C331)), "Core Platform",
  ISNUMBER(SEARCH("Analytics", C331)), "Analytics",
  ISNUMBER(SEARCH("Automation", C331)), "Automation"
)</f>
        <v>Core Platform</v>
      </c>
    </row>
    <row r="332" spans="1:7" x14ac:dyDescent="0.35">
      <c r="A332" t="s">
        <v>43</v>
      </c>
      <c r="B332" t="s">
        <v>44</v>
      </c>
      <c r="C332" t="s">
        <v>16</v>
      </c>
      <c r="D332" s="1">
        <v>45870</v>
      </c>
      <c r="E332" s="3">
        <v>70000</v>
      </c>
      <c r="F332" t="str">
        <f>+TRIM(B332)</f>
        <v>Harborview Plumbing</v>
      </c>
      <c r="G332" t="str" cm="1">
        <f t="array" ref="G332">_xlfn.IFS(
  ISNUMBER(SEARCH("Core", C332)), "Core Platform",
  ISNUMBER(SEARCH("Analytics", C332)), "Analytics",
  ISNUMBER(SEARCH("Automation", C332)), "Automation"
)</f>
        <v>Core Platform</v>
      </c>
    </row>
    <row r="333" spans="1:7" x14ac:dyDescent="0.35">
      <c r="A333" t="s">
        <v>39</v>
      </c>
      <c r="B333" t="s">
        <v>40</v>
      </c>
      <c r="C333" t="s">
        <v>16</v>
      </c>
      <c r="D333" s="1">
        <v>45931</v>
      </c>
      <c r="E333" s="3">
        <v>60000</v>
      </c>
      <c r="F333" t="str">
        <f>+TRIM(B333)</f>
        <v>Foundry Industrial</v>
      </c>
      <c r="G333" t="str" cm="1">
        <f t="array" ref="G333">_xlfn.IFS(
  ISNUMBER(SEARCH("Core", C333)), "Core Platform",
  ISNUMBER(SEARCH("Analytics", C333)), "Analytics",
  ISNUMBER(SEARCH("Automation", C333)), "Automation"
)</f>
        <v>Core Platform</v>
      </c>
    </row>
    <row r="334" spans="1:7" x14ac:dyDescent="0.35">
      <c r="A334" t="s">
        <v>48</v>
      </c>
      <c r="B334" t="s">
        <v>49</v>
      </c>
      <c r="C334" t="s">
        <v>10</v>
      </c>
      <c r="D334" s="1">
        <v>45778</v>
      </c>
      <c r="E334" s="3">
        <v>26000</v>
      </c>
      <c r="F334" t="str">
        <f>+TRIM(B334)</f>
        <v>Lakeside Energy</v>
      </c>
      <c r="G334" t="str" cm="1">
        <f t="array" ref="G334">_xlfn.IFS(
  ISNUMBER(SEARCH("Core", C334)), "Core Platform",
  ISNUMBER(SEARCH("Analytics", C334)), "Analytics",
  ISNUMBER(SEARCH("Automation", C334)), "Automation"
)</f>
        <v>Analytics</v>
      </c>
    </row>
    <row r="335" spans="1:7" x14ac:dyDescent="0.35">
      <c r="A335" t="s">
        <v>5</v>
      </c>
      <c r="B335" t="s">
        <v>6</v>
      </c>
      <c r="C335" t="s">
        <v>28</v>
      </c>
      <c r="D335" s="1">
        <v>45689</v>
      </c>
      <c r="E335" s="3">
        <v>85000</v>
      </c>
      <c r="F335" t="str">
        <f>+TRIM(B335)</f>
        <v>Meridian Water Group</v>
      </c>
      <c r="G335" t="str" cm="1">
        <f t="array" ref="G335">_xlfn.IFS(
  ISNUMBER(SEARCH("Core", C335)), "Core Platform",
  ISNUMBER(SEARCH("Analytics", C335)), "Analytics",
  ISNUMBER(SEARCH("Automation", C335)), "Automation"
)</f>
        <v>Core Platform</v>
      </c>
    </row>
    <row r="336" spans="1:7" x14ac:dyDescent="0.35">
      <c r="A336" t="s">
        <v>91</v>
      </c>
      <c r="B336" t="s">
        <v>102</v>
      </c>
      <c r="C336" t="s">
        <v>28</v>
      </c>
      <c r="D336" s="1">
        <v>45748</v>
      </c>
      <c r="E336" s="3">
        <v>90000</v>
      </c>
      <c r="F336" t="str">
        <f>+TRIM(B336)</f>
        <v>Trailhead Equipment</v>
      </c>
      <c r="G336" t="str" cm="1">
        <f t="array" ref="G336">_xlfn.IFS(
  ISNUMBER(SEARCH("Core", C336)), "Core Platform",
  ISNUMBER(SEARCH("Analytics", C336)), "Analytics",
  ISNUMBER(SEARCH("Automation", C336)), "Automation"
)</f>
        <v>Core Platform</v>
      </c>
    </row>
    <row r="337" spans="1:7" x14ac:dyDescent="0.35">
      <c r="A337" t="s">
        <v>22</v>
      </c>
      <c r="B337" t="s">
        <v>23</v>
      </c>
      <c r="C337" t="s">
        <v>16</v>
      </c>
      <c r="D337" s="1">
        <v>45748</v>
      </c>
      <c r="E337" s="3">
        <v>111000</v>
      </c>
      <c r="F337" t="str">
        <f>+TRIM(B337)</f>
        <v>Ridgeline HVAC</v>
      </c>
      <c r="G337" t="str" cm="1">
        <f t="array" ref="G337">_xlfn.IFS(
  ISNUMBER(SEARCH("Core", C337)), "Core Platform",
  ISNUMBER(SEARCH("Analytics", C337)), "Analytics",
  ISNUMBER(SEARCH("Automation", C337)), "Automation"
)</f>
        <v>Core Platform</v>
      </c>
    </row>
    <row r="338" spans="1:7" x14ac:dyDescent="0.35">
      <c r="A338" t="s">
        <v>43</v>
      </c>
      <c r="B338" t="s">
        <v>44</v>
      </c>
      <c r="C338" t="s">
        <v>21</v>
      </c>
      <c r="D338" s="1">
        <v>45809</v>
      </c>
      <c r="E338" s="3">
        <v>27000</v>
      </c>
      <c r="F338" t="str">
        <f>+TRIM(B338)</f>
        <v>Harborview Plumbing</v>
      </c>
      <c r="G338" t="str" cm="1">
        <f t="array" ref="G338">_xlfn.IFS(
  ISNUMBER(SEARCH("Core", C338)), "Core Platform",
  ISNUMBER(SEARCH("Analytics", C338)), "Analytics",
  ISNUMBER(SEARCH("Automation", C338)), "Automation"
)</f>
        <v>Automation</v>
      </c>
    </row>
    <row r="339" spans="1:7" x14ac:dyDescent="0.35">
      <c r="A339" t="s">
        <v>8</v>
      </c>
      <c r="B339" t="s">
        <v>9</v>
      </c>
      <c r="C339" t="s">
        <v>10</v>
      </c>
      <c r="D339" s="1">
        <v>45931</v>
      </c>
      <c r="E339" s="3">
        <v>35000</v>
      </c>
      <c r="F339" t="str">
        <f>+TRIM(B339)</f>
        <v>Cobalt Networks</v>
      </c>
      <c r="G339" t="str" cm="1">
        <f t="array" ref="G339">_xlfn.IFS(
  ISNUMBER(SEARCH("Core", C339)), "Core Platform",
  ISNUMBER(SEARCH("Analytics", C339)), "Analytics",
  ISNUMBER(SEARCH("Automation", C339)), "Automation"
)</f>
        <v>Analytics</v>
      </c>
    </row>
    <row r="340" spans="1:7" x14ac:dyDescent="0.35">
      <c r="A340" t="s">
        <v>78</v>
      </c>
      <c r="B340" t="s">
        <v>80</v>
      </c>
      <c r="C340" t="s">
        <v>28</v>
      </c>
      <c r="D340" s="1">
        <v>45689</v>
      </c>
      <c r="E340" s="3">
        <v>49000</v>
      </c>
      <c r="F340" t="str">
        <f>+TRIM(B340)</f>
        <v>Orion Building Systems</v>
      </c>
      <c r="G340" t="str" cm="1">
        <f t="array" ref="G340">_xlfn.IFS(
  ISNUMBER(SEARCH("Core", C340)), "Core Platform",
  ISNUMBER(SEARCH("Analytics", C340)), "Analytics",
  ISNUMBER(SEARCH("Automation", C340)), "Automation"
)</f>
        <v>Core Platform</v>
      </c>
    </row>
    <row r="341" spans="1:7" x14ac:dyDescent="0.35">
      <c r="A341" t="s">
        <v>33</v>
      </c>
      <c r="B341" t="s">
        <v>34</v>
      </c>
      <c r="C341" t="s">
        <v>28</v>
      </c>
      <c r="D341" s="1">
        <v>45689</v>
      </c>
      <c r="E341" s="3">
        <v>66000</v>
      </c>
      <c r="F341" t="str">
        <f>+TRIM(B341)</f>
        <v>Sandstone Roofing</v>
      </c>
      <c r="G341" t="str" cm="1">
        <f t="array" ref="G341">_xlfn.IFS(
  ISNUMBER(SEARCH("Core", C341)), "Core Platform",
  ISNUMBER(SEARCH("Analytics", C341)), "Analytics",
  ISNUMBER(SEARCH("Automation", C341)), "Automation"
)</f>
        <v>Core Platform</v>
      </c>
    </row>
    <row r="342" spans="1:7" x14ac:dyDescent="0.35">
      <c r="A342" t="s">
        <v>39</v>
      </c>
      <c r="B342" t="s">
        <v>40</v>
      </c>
      <c r="C342" t="s">
        <v>50</v>
      </c>
      <c r="D342" s="1">
        <v>45962</v>
      </c>
      <c r="E342" s="3">
        <v>19000</v>
      </c>
      <c r="F342" t="str">
        <f>+TRIM(B342)</f>
        <v>Foundry Industrial</v>
      </c>
      <c r="G342" t="str" cm="1">
        <f t="array" ref="G342">_xlfn.IFS(
  ISNUMBER(SEARCH("Core", C342)), "Core Platform",
  ISNUMBER(SEARCH("Analytics", C342)), "Analytics",
  ISNUMBER(SEARCH("Automation", C342)), "Automation"
)</f>
        <v>Automation</v>
      </c>
    </row>
    <row r="343" spans="1:7" x14ac:dyDescent="0.35">
      <c r="A343" t="s">
        <v>35</v>
      </c>
      <c r="B343" t="s">
        <v>36</v>
      </c>
      <c r="C343" t="s">
        <v>7</v>
      </c>
      <c r="D343" s="1">
        <v>45992</v>
      </c>
      <c r="E343" s="3">
        <v>16000</v>
      </c>
      <c r="F343" t="str">
        <f>+TRIM(B343)</f>
        <v>Halcyon Pharma</v>
      </c>
      <c r="G343" t="str" cm="1">
        <f t="array" ref="G343">_xlfn.IFS(
  ISNUMBER(SEARCH("Core", C343)), "Core Platform",
  ISNUMBER(SEARCH("Analytics", C343)), "Analytics",
  ISNUMBER(SEARCH("Automation", C343)), "Automation"
)</f>
        <v>Analytics</v>
      </c>
    </row>
    <row r="344" spans="1:7" x14ac:dyDescent="0.35">
      <c r="A344" t="s">
        <v>60</v>
      </c>
      <c r="B344" t="s">
        <v>61</v>
      </c>
      <c r="C344" t="s">
        <v>28</v>
      </c>
      <c r="D344" s="1">
        <v>45839</v>
      </c>
      <c r="E344" s="3">
        <v>35000</v>
      </c>
      <c r="F344" t="str">
        <f>+TRIM(B344)</f>
        <v>Redwood Field Services</v>
      </c>
      <c r="G344" t="str" cm="1">
        <f t="array" ref="G344">_xlfn.IFS(
  ISNUMBER(SEARCH("Core", C344)), "Core Platform",
  ISNUMBER(SEARCH("Analytics", C344)), "Analytics",
  ISNUMBER(SEARCH("Automation", C344)), "Automation"
)</f>
        <v>Core Platform</v>
      </c>
    </row>
    <row r="345" spans="1:7" x14ac:dyDescent="0.35">
      <c r="A345" t="s">
        <v>11</v>
      </c>
      <c r="B345" t="s">
        <v>59</v>
      </c>
      <c r="C345" t="s">
        <v>21</v>
      </c>
      <c r="D345" s="1">
        <v>45870</v>
      </c>
      <c r="E345" s="3">
        <v>27000</v>
      </c>
      <c r="F345" t="str">
        <f>+TRIM(B345)</f>
        <v>Pinecrest Property</v>
      </c>
      <c r="G345" t="str" cm="1">
        <f t="array" ref="G345">_xlfn.IFS(
  ISNUMBER(SEARCH("Core", C345)), "Core Platform",
  ISNUMBER(SEARCH("Analytics", C345)), "Analytics",
  ISNUMBER(SEARCH("Automation", C345)), "Automation"
)</f>
        <v>Automation</v>
      </c>
    </row>
    <row r="346" spans="1:7" x14ac:dyDescent="0.35">
      <c r="A346" t="s">
        <v>48</v>
      </c>
      <c r="B346" t="s">
        <v>49</v>
      </c>
      <c r="C346" t="s">
        <v>7</v>
      </c>
      <c r="D346" s="1">
        <v>45870</v>
      </c>
      <c r="E346" s="3">
        <v>26000</v>
      </c>
      <c r="F346" t="str">
        <f>+TRIM(B346)</f>
        <v>Lakeside Energy</v>
      </c>
      <c r="G346" t="str" cm="1">
        <f t="array" ref="G346">_xlfn.IFS(
  ISNUMBER(SEARCH("Core", C346)), "Core Platform",
  ISNUMBER(SEARCH("Analytics", C346)), "Analytics",
  ISNUMBER(SEARCH("Automation", C346)), "Automation"
)</f>
        <v>Analytics</v>
      </c>
    </row>
    <row r="347" spans="1:7" x14ac:dyDescent="0.35">
      <c r="A347" t="s">
        <v>41</v>
      </c>
      <c r="B347" t="s">
        <v>42</v>
      </c>
      <c r="C347" t="s">
        <v>10</v>
      </c>
      <c r="D347" s="1">
        <v>45717</v>
      </c>
      <c r="E347" s="3">
        <v>17000</v>
      </c>
      <c r="F347" t="str">
        <f>+TRIM(B347)</f>
        <v>Delta Refrigeration</v>
      </c>
      <c r="G347" t="str" cm="1">
        <f t="array" ref="G347">_xlfn.IFS(
  ISNUMBER(SEARCH("Core", C347)), "Core Platform",
  ISNUMBER(SEARCH("Analytics", C347)), "Analytics",
  ISNUMBER(SEARCH("Automation", C347)), "Automation"
)</f>
        <v>Analytics</v>
      </c>
    </row>
    <row r="348" spans="1:7" x14ac:dyDescent="0.35">
      <c r="A348" t="s">
        <v>8</v>
      </c>
      <c r="B348" t="s">
        <v>9</v>
      </c>
      <c r="C348" t="s">
        <v>28</v>
      </c>
      <c r="D348" s="1">
        <v>45809</v>
      </c>
      <c r="E348" s="3">
        <v>70000</v>
      </c>
      <c r="F348" t="str">
        <f>+TRIM(B348)</f>
        <v>Cobalt Networks</v>
      </c>
      <c r="G348" t="str" cm="1">
        <f t="array" ref="G348">_xlfn.IFS(
  ISNUMBER(SEARCH("Core", C348)), "Core Platform",
  ISNUMBER(SEARCH("Analytics", C348)), "Analytics",
  ISNUMBER(SEARCH("Automation", C348)), "Automation"
)</f>
        <v>Core Platform</v>
      </c>
    </row>
    <row r="349" spans="1:7" x14ac:dyDescent="0.35">
      <c r="A349" t="s">
        <v>53</v>
      </c>
      <c r="B349" t="s">
        <v>54</v>
      </c>
      <c r="C349" t="s">
        <v>10</v>
      </c>
      <c r="D349" s="1">
        <v>45689</v>
      </c>
      <c r="E349" s="3">
        <v>35000</v>
      </c>
      <c r="F349" t="str">
        <f>+TRIM(B349)</f>
        <v>Maple Grove Maintenance</v>
      </c>
      <c r="G349" t="str" cm="1">
        <f t="array" ref="G349">_xlfn.IFS(
  ISNUMBER(SEARCH("Core", C349)), "Core Platform",
  ISNUMBER(SEARCH("Analytics", C349)), "Analytics",
  ISNUMBER(SEARCH("Automation", C349)), "Automation"
)</f>
        <v>Analytics</v>
      </c>
    </row>
    <row r="350" spans="1:7" x14ac:dyDescent="0.35">
      <c r="A350" t="s">
        <v>39</v>
      </c>
      <c r="B350" t="s">
        <v>40</v>
      </c>
      <c r="C350" t="s">
        <v>7</v>
      </c>
      <c r="D350" s="1">
        <v>45717</v>
      </c>
      <c r="E350" s="3">
        <v>26000</v>
      </c>
      <c r="F350" t="str">
        <f>+TRIM(B350)</f>
        <v>Foundry Industrial</v>
      </c>
      <c r="G350" t="str" cm="1">
        <f t="array" ref="G350">_xlfn.IFS(
  ISNUMBER(SEARCH("Core", C350)), "Core Platform",
  ISNUMBER(SEARCH("Analytics", C350)), "Analytics",
  ISNUMBER(SEARCH("Automation", C350)), "Automation"
)</f>
        <v>Analytics</v>
      </c>
    </row>
    <row r="351" spans="1:7" x14ac:dyDescent="0.35">
      <c r="A351" t="s">
        <v>60</v>
      </c>
      <c r="B351" t="s">
        <v>61</v>
      </c>
      <c r="C351" t="s">
        <v>10</v>
      </c>
      <c r="D351" s="1">
        <v>45717</v>
      </c>
      <c r="E351" s="3">
        <v>23000</v>
      </c>
      <c r="F351" t="str">
        <f>+TRIM(B351)</f>
        <v>Redwood Field Services</v>
      </c>
      <c r="G351" t="str" cm="1">
        <f t="array" ref="G351">_xlfn.IFS(
  ISNUMBER(SEARCH("Core", C351)), "Core Platform",
  ISNUMBER(SEARCH("Analytics", C351)), "Analytics",
  ISNUMBER(SEARCH("Automation", C351)), "Automation"
)</f>
        <v>Analytics</v>
      </c>
    </row>
    <row r="352" spans="1:7" x14ac:dyDescent="0.35">
      <c r="A352" t="s">
        <v>60</v>
      </c>
      <c r="B352" t="s">
        <v>61</v>
      </c>
      <c r="C352" t="s">
        <v>21</v>
      </c>
      <c r="D352" s="1">
        <v>45931</v>
      </c>
      <c r="E352" s="3">
        <v>18000</v>
      </c>
      <c r="F352" t="str">
        <f>+TRIM(B352)</f>
        <v>Redwood Field Services</v>
      </c>
      <c r="G352" t="str" cm="1">
        <f t="array" ref="G352">_xlfn.IFS(
  ISNUMBER(SEARCH("Core", C352)), "Core Platform",
  ISNUMBER(SEARCH("Analytics", C352)), "Analytics",
  ISNUMBER(SEARCH("Automation", C352)), "Automation"
)</f>
        <v>Automation</v>
      </c>
    </row>
    <row r="353" spans="1:7" x14ac:dyDescent="0.35">
      <c r="A353" t="s">
        <v>29</v>
      </c>
      <c r="B353" t="s">
        <v>46</v>
      </c>
      <c r="C353" t="s">
        <v>16</v>
      </c>
      <c r="D353" s="1">
        <v>45931</v>
      </c>
      <c r="E353" s="3">
        <v>60000</v>
      </c>
      <c r="F353" t="str">
        <f>+TRIM(B353)</f>
        <v>Atlas Elevator Co</v>
      </c>
      <c r="G353" t="str" cm="1">
        <f t="array" ref="G353">_xlfn.IFS(
  ISNUMBER(SEARCH("Core", C353)), "Core Platform",
  ISNUMBER(SEARCH("Analytics", C353)), "Analytics",
  ISNUMBER(SEARCH("Automation", C353)), "Automation"
)</f>
        <v>Core Platform</v>
      </c>
    </row>
    <row r="354" spans="1:7" x14ac:dyDescent="0.35">
      <c r="A354" t="s">
        <v>24</v>
      </c>
      <c r="B354" t="s">
        <v>45</v>
      </c>
      <c r="C354" t="s">
        <v>10</v>
      </c>
      <c r="D354" s="1">
        <v>45627</v>
      </c>
      <c r="E354" s="3">
        <v>31000</v>
      </c>
      <c r="F354" t="str">
        <f>+TRIM(B354)</f>
        <v>Kestrel Telecom</v>
      </c>
      <c r="G354" t="str" cm="1">
        <f t="array" ref="G354">_xlfn.IFS(
  ISNUMBER(SEARCH("Core", C354)), "Core Platform",
  ISNUMBER(SEARCH("Analytics", C354)), "Analytics",
  ISNUMBER(SEARCH("Automation", C354)), "Automation"
)</f>
        <v>Analytics</v>
      </c>
    </row>
    <row r="355" spans="1:7" x14ac:dyDescent="0.35">
      <c r="A355" t="s">
        <v>41</v>
      </c>
      <c r="B355" t="s">
        <v>42</v>
      </c>
      <c r="C355" t="s">
        <v>21</v>
      </c>
      <c r="D355" s="1">
        <v>45870</v>
      </c>
      <c r="E355" s="3">
        <v>22000</v>
      </c>
      <c r="F355" t="str">
        <f>+TRIM(B355)</f>
        <v>Delta Refrigeration</v>
      </c>
      <c r="G355" t="str" cm="1">
        <f t="array" ref="G355">_xlfn.IFS(
  ISNUMBER(SEARCH("Core", C355)), "Core Platform",
  ISNUMBER(SEARCH("Analytics", C355)), "Analytics",
  ISNUMBER(SEARCH("Automation", C355)), "Automation"
)</f>
        <v>Automation</v>
      </c>
    </row>
    <row r="356" spans="1:7" x14ac:dyDescent="0.35">
      <c r="A356" t="s">
        <v>19</v>
      </c>
      <c r="B356" t="s">
        <v>20</v>
      </c>
      <c r="C356" t="s">
        <v>16</v>
      </c>
      <c r="D356" s="1">
        <v>45627</v>
      </c>
      <c r="E356" s="3">
        <v>61000</v>
      </c>
      <c r="F356" t="str">
        <f>+TRIM(B356)</f>
        <v>Granite State Mechanical</v>
      </c>
      <c r="G356" t="str" cm="1">
        <f t="array" ref="G356">_xlfn.IFS(
  ISNUMBER(SEARCH("Core", C356)), "Core Platform",
  ISNUMBER(SEARCH("Analytics", C356)), "Analytics",
  ISNUMBER(SEARCH("Automation", C356)), "Automation"
)</f>
        <v>Core Platform</v>
      </c>
    </row>
    <row r="357" spans="1:7" x14ac:dyDescent="0.35">
      <c r="A357" t="s">
        <v>53</v>
      </c>
      <c r="B357" t="s">
        <v>103</v>
      </c>
      <c r="C357" t="s">
        <v>16</v>
      </c>
      <c r="D357" s="1">
        <v>45689</v>
      </c>
      <c r="E357" s="3">
        <v>63000</v>
      </c>
      <c r="F357" t="str">
        <f>+TRIM(B357)</f>
        <v>Maple Grove Maintenance</v>
      </c>
      <c r="G357" t="str" cm="1">
        <f t="array" ref="G357">_xlfn.IFS(
  ISNUMBER(SEARCH("Core", C357)), "Core Platform",
  ISNUMBER(SEARCH("Analytics", C357)), "Analytics",
  ISNUMBER(SEARCH("Automation", C357)), "Automation"
)</f>
        <v>Core Platform</v>
      </c>
    </row>
    <row r="358" spans="1:7" x14ac:dyDescent="0.35">
      <c r="A358" t="s">
        <v>91</v>
      </c>
      <c r="B358" t="s">
        <v>92</v>
      </c>
      <c r="C358" t="s">
        <v>28</v>
      </c>
      <c r="D358" s="1">
        <v>45962</v>
      </c>
      <c r="E358" s="3">
        <v>116000</v>
      </c>
      <c r="F358" t="str">
        <f>+TRIM(B358)</f>
        <v>Trailhead Equipment</v>
      </c>
      <c r="G358" t="str" cm="1">
        <f t="array" ref="G358">_xlfn.IFS(
  ISNUMBER(SEARCH("Core", C358)), "Core Platform",
  ISNUMBER(SEARCH("Analytics", C358)), "Analytics",
  ISNUMBER(SEARCH("Automation", C358)), "Automation"
)</f>
        <v>Core Platform</v>
      </c>
    </row>
    <row r="359" spans="1:7" x14ac:dyDescent="0.35">
      <c r="A359" t="s">
        <v>72</v>
      </c>
      <c r="B359" t="s">
        <v>73</v>
      </c>
      <c r="C359" t="s">
        <v>16</v>
      </c>
      <c r="D359" s="1">
        <v>45627</v>
      </c>
      <c r="E359" s="3">
        <v>117000</v>
      </c>
      <c r="F359" t="str">
        <f>+TRIM(B359)</f>
        <v>Northwind Trading</v>
      </c>
      <c r="G359" t="str" cm="1">
        <f t="array" ref="G359">_xlfn.IFS(
  ISNUMBER(SEARCH("Core", C359)), "Core Platform",
  ISNUMBER(SEARCH("Analytics", C359)), "Analytics",
  ISNUMBER(SEARCH("Automation", C359)), "Automation"
)</f>
        <v>Core Platform</v>
      </c>
    </row>
    <row r="360" spans="1:7" x14ac:dyDescent="0.35">
      <c r="A360" t="s">
        <v>5</v>
      </c>
      <c r="B360" t="s">
        <v>6</v>
      </c>
      <c r="C360" t="s">
        <v>28</v>
      </c>
      <c r="D360" s="1">
        <v>45931</v>
      </c>
      <c r="E360" s="3">
        <v>97000</v>
      </c>
      <c r="F360" t="str">
        <f>+TRIM(B360)</f>
        <v>Meridian Water Group</v>
      </c>
      <c r="G360" t="str" cm="1">
        <f t="array" ref="G360">_xlfn.IFS(
  ISNUMBER(SEARCH("Core", C360)), "Core Platform",
  ISNUMBER(SEARCH("Analytics", C360)), "Analytics",
  ISNUMBER(SEARCH("Automation", C360)), "Automation"
)</f>
        <v>Core Platform</v>
      </c>
    </row>
    <row r="361" spans="1:7" x14ac:dyDescent="0.35">
      <c r="A361" t="s">
        <v>53</v>
      </c>
      <c r="B361" t="s">
        <v>54</v>
      </c>
      <c r="C361" t="s">
        <v>28</v>
      </c>
      <c r="D361" s="1">
        <v>45962</v>
      </c>
      <c r="E361" s="3">
        <v>73000</v>
      </c>
      <c r="F361" t="str">
        <f>+TRIM(B361)</f>
        <v>Maple Grove Maintenance</v>
      </c>
      <c r="G361" t="str" cm="1">
        <f t="array" ref="G361">_xlfn.IFS(
  ISNUMBER(SEARCH("Core", C361)), "Core Platform",
  ISNUMBER(SEARCH("Analytics", C361)), "Analytics",
  ISNUMBER(SEARCH("Automation", C361)), "Automation"
)</f>
        <v>Core Platform</v>
      </c>
    </row>
    <row r="362" spans="1:7" x14ac:dyDescent="0.35">
      <c r="A362" t="s">
        <v>37</v>
      </c>
      <c r="B362" t="s">
        <v>38</v>
      </c>
      <c r="C362" t="s">
        <v>16</v>
      </c>
      <c r="D362" s="1">
        <v>45992</v>
      </c>
      <c r="E362" s="3">
        <v>88000</v>
      </c>
      <c r="F362" t="str">
        <f>+TRIM(B362)</f>
        <v>Fairwind Marine</v>
      </c>
      <c r="G362" t="str" cm="1">
        <f t="array" ref="G362">_xlfn.IFS(
  ISNUMBER(SEARCH("Core", C362)), "Core Platform",
  ISNUMBER(SEARCH("Analytics", C362)), "Analytics",
  ISNUMBER(SEARCH("Automation", C362)), "Automation"
)</f>
        <v>Core Platform</v>
      </c>
    </row>
    <row r="363" spans="1:7" x14ac:dyDescent="0.35">
      <c r="A363" t="s">
        <v>57</v>
      </c>
      <c r="B363" t="s">
        <v>58</v>
      </c>
      <c r="C363" t="s">
        <v>50</v>
      </c>
      <c r="D363" s="1">
        <v>45870</v>
      </c>
      <c r="E363" s="3">
        <v>20000</v>
      </c>
      <c r="F363" t="str">
        <f>+TRIM(B363)</f>
        <v>Everest Drilling</v>
      </c>
      <c r="G363" t="str" cm="1">
        <f t="array" ref="G363">_xlfn.IFS(
  ISNUMBER(SEARCH("Core", C363)), "Core Platform",
  ISNUMBER(SEARCH("Analytics", C363)), "Analytics",
  ISNUMBER(SEARCH("Automation", C363)), "Automation"
)</f>
        <v>Automation</v>
      </c>
    </row>
    <row r="364" spans="1:7" x14ac:dyDescent="0.35">
      <c r="A364" t="s">
        <v>39</v>
      </c>
      <c r="B364" t="s">
        <v>40</v>
      </c>
      <c r="C364" t="s">
        <v>10</v>
      </c>
      <c r="D364" s="1">
        <v>45901</v>
      </c>
      <c r="E364" s="3">
        <v>31000</v>
      </c>
      <c r="F364" t="str">
        <f>+TRIM(B364)</f>
        <v>Foundry Industrial</v>
      </c>
      <c r="G364" t="str" cm="1">
        <f t="array" ref="G364">_xlfn.IFS(
  ISNUMBER(SEARCH("Core", C364)), "Core Platform",
  ISNUMBER(SEARCH("Analytics", C364)), "Analytics",
  ISNUMBER(SEARCH("Automation", C364)), "Automation"
)</f>
        <v>Analytics</v>
      </c>
    </row>
    <row r="365" spans="1:7" x14ac:dyDescent="0.35">
      <c r="A365" t="s">
        <v>41</v>
      </c>
      <c r="B365" t="s">
        <v>42</v>
      </c>
      <c r="C365" t="s">
        <v>16</v>
      </c>
      <c r="D365" s="1">
        <v>45778</v>
      </c>
      <c r="E365" s="3">
        <v>102000</v>
      </c>
      <c r="F365" t="str">
        <f>+TRIM(B365)</f>
        <v>Delta Refrigeration</v>
      </c>
      <c r="G365" t="str" cm="1">
        <f t="array" ref="G365">_xlfn.IFS(
  ISNUMBER(SEARCH("Core", C365)), "Core Platform",
  ISNUMBER(SEARCH("Analytics", C365)), "Analytics",
  ISNUMBER(SEARCH("Automation", C365)), "Automation"
)</f>
        <v>Core Platform</v>
      </c>
    </row>
    <row r="366" spans="1:7" x14ac:dyDescent="0.35">
      <c r="A366" t="s">
        <v>91</v>
      </c>
      <c r="B366" t="s">
        <v>92</v>
      </c>
      <c r="C366" t="s">
        <v>28</v>
      </c>
      <c r="D366" s="1">
        <v>45992</v>
      </c>
      <c r="E366" s="3">
        <v>116000</v>
      </c>
      <c r="F366" t="str">
        <f>+TRIM(B366)</f>
        <v>Trailhead Equipment</v>
      </c>
      <c r="G366" t="str" cm="1">
        <f t="array" ref="G366">_xlfn.IFS(
  ISNUMBER(SEARCH("Core", C366)), "Core Platform",
  ISNUMBER(SEARCH("Analytics", C366)), "Analytics",
  ISNUMBER(SEARCH("Automation", C366)), "Automation"
)</f>
        <v>Core Platform</v>
      </c>
    </row>
    <row r="367" spans="1:7" x14ac:dyDescent="0.35">
      <c r="A367" t="s">
        <v>41</v>
      </c>
      <c r="B367" t="s">
        <v>42</v>
      </c>
      <c r="C367" t="s">
        <v>21</v>
      </c>
      <c r="D367" s="1">
        <v>45809</v>
      </c>
      <c r="E367" s="3">
        <v>22000</v>
      </c>
      <c r="F367" t="str">
        <f>+TRIM(B367)</f>
        <v>Delta Refrigeration</v>
      </c>
      <c r="G367" t="str" cm="1">
        <f t="array" ref="G367">_xlfn.IFS(
  ISNUMBER(SEARCH("Core", C367)), "Core Platform",
  ISNUMBER(SEARCH("Analytics", C367)), "Analytics",
  ISNUMBER(SEARCH("Automation", C367)), "Automation"
)</f>
        <v>Automation</v>
      </c>
    </row>
    <row r="368" spans="1:7" x14ac:dyDescent="0.35">
      <c r="A368" t="s">
        <v>39</v>
      </c>
      <c r="B368" t="s">
        <v>40</v>
      </c>
      <c r="C368" t="s">
        <v>10</v>
      </c>
      <c r="D368" s="1">
        <v>45962</v>
      </c>
      <c r="E368" s="3">
        <v>31000</v>
      </c>
      <c r="F368" t="str">
        <f>+TRIM(B368)</f>
        <v>Foundry Industrial</v>
      </c>
      <c r="G368" t="str" cm="1">
        <f t="array" ref="G368">_xlfn.IFS(
  ISNUMBER(SEARCH("Core", C368)), "Core Platform",
  ISNUMBER(SEARCH("Analytics", C368)), "Analytics",
  ISNUMBER(SEARCH("Automation", C368)), "Automation"
)</f>
        <v>Analytics</v>
      </c>
    </row>
    <row r="369" spans="1:7" x14ac:dyDescent="0.35">
      <c r="A369" t="s">
        <v>17</v>
      </c>
      <c r="B369" t="s">
        <v>104</v>
      </c>
      <c r="C369" t="s">
        <v>50</v>
      </c>
      <c r="D369" s="1">
        <v>45717</v>
      </c>
      <c r="E369" s="3">
        <v>8000</v>
      </c>
      <c r="F369" t="str">
        <f>+TRIM(B369)</f>
        <v>Ironclad Security</v>
      </c>
      <c r="G369" t="str" cm="1">
        <f t="array" ref="G369">_xlfn.IFS(
  ISNUMBER(SEARCH("Core", C369)), "Core Platform",
  ISNUMBER(SEARCH("Analytics", C369)), "Analytics",
  ISNUMBER(SEARCH("Automation", C369)), "Automation"
)</f>
        <v>Automation</v>
      </c>
    </row>
    <row r="370" spans="1:7" x14ac:dyDescent="0.35">
      <c r="A370" t="s">
        <v>41</v>
      </c>
      <c r="B370" t="s">
        <v>42</v>
      </c>
      <c r="C370" t="s">
        <v>10</v>
      </c>
      <c r="D370" s="1">
        <v>45901</v>
      </c>
      <c r="E370" s="3">
        <v>17000</v>
      </c>
      <c r="F370" t="str">
        <f>+TRIM(B370)</f>
        <v>Delta Refrigeration</v>
      </c>
      <c r="G370" t="str" cm="1">
        <f t="array" ref="G370">_xlfn.IFS(
  ISNUMBER(SEARCH("Core", C370)), "Core Platform",
  ISNUMBER(SEARCH("Analytics", C370)), "Analytics",
  ISNUMBER(SEARCH("Automation", C370)), "Automation"
)</f>
        <v>Analytics</v>
      </c>
    </row>
    <row r="371" spans="1:7" x14ac:dyDescent="0.35">
      <c r="A371" t="s">
        <v>70</v>
      </c>
      <c r="B371" t="s">
        <v>106</v>
      </c>
      <c r="C371" t="s">
        <v>21</v>
      </c>
      <c r="D371" s="1">
        <v>45627</v>
      </c>
      <c r="E371" s="3">
        <v>9000</v>
      </c>
      <c r="F371" t="str">
        <f>+TRIM(B371)</f>
        <v>Vertex Manufacturing</v>
      </c>
      <c r="G371" t="str" cm="1">
        <f t="array" ref="G371">_xlfn.IFS(
  ISNUMBER(SEARCH("Core", C371)), "Core Platform",
  ISNUMBER(SEARCH("Analytics", C371)), "Analytics",
  ISNUMBER(SEARCH("Automation", C371)), "Automation"
)</f>
        <v>Automation</v>
      </c>
    </row>
    <row r="372" spans="1:7" x14ac:dyDescent="0.35">
      <c r="A372" t="s">
        <v>11</v>
      </c>
      <c r="B372" t="s">
        <v>59</v>
      </c>
      <c r="C372" t="s">
        <v>28</v>
      </c>
      <c r="D372" s="1">
        <v>45870</v>
      </c>
      <c r="E372" s="3">
        <v>118000</v>
      </c>
      <c r="F372" t="str">
        <f>+TRIM(B372)</f>
        <v>Pinecrest Property</v>
      </c>
      <c r="G372" t="str" cm="1">
        <f t="array" ref="G372">_xlfn.IFS(
  ISNUMBER(SEARCH("Core", C372)), "Core Platform",
  ISNUMBER(SEARCH("Analytics", C372)), "Analytics",
  ISNUMBER(SEARCH("Automation", C372)), "Automation"
)</f>
        <v>Core Platform</v>
      </c>
    </row>
    <row r="373" spans="1:7" x14ac:dyDescent="0.35">
      <c r="A373" t="s">
        <v>37</v>
      </c>
      <c r="B373" t="s">
        <v>38</v>
      </c>
      <c r="C373" t="s">
        <v>65</v>
      </c>
      <c r="D373" s="1">
        <v>45809</v>
      </c>
      <c r="E373" s="3">
        <v>19000</v>
      </c>
      <c r="F373" t="str">
        <f>+TRIM(B373)</f>
        <v>Fairwind Marine</v>
      </c>
      <c r="G373" t="str" cm="1">
        <f t="array" ref="G373">_xlfn.IFS(
  ISNUMBER(SEARCH("Core", C373)), "Core Platform",
  ISNUMBER(SEARCH("Analytics", C373)), "Analytics",
  ISNUMBER(SEARCH("Automation", C373)), "Automation"
)</f>
        <v>Analytics</v>
      </c>
    </row>
    <row r="374" spans="1:7" x14ac:dyDescent="0.35">
      <c r="A374" t="s">
        <v>72</v>
      </c>
      <c r="B374" t="s">
        <v>107</v>
      </c>
      <c r="C374" t="s">
        <v>10</v>
      </c>
      <c r="D374" s="1">
        <v>45839</v>
      </c>
      <c r="E374" s="3">
        <v>33000</v>
      </c>
      <c r="F374" t="str">
        <f>+TRIM(B374)</f>
        <v>Northwind Trading</v>
      </c>
      <c r="G374" t="str" cm="1">
        <f t="array" ref="G374">_xlfn.IFS(
  ISNUMBER(SEARCH("Core", C374)), "Core Platform",
  ISNUMBER(SEARCH("Analytics", C374)), "Analytics",
  ISNUMBER(SEARCH("Automation", C374)), "Automation"
)</f>
        <v>Analytics</v>
      </c>
    </row>
    <row r="375" spans="1:7" x14ac:dyDescent="0.35">
      <c r="A375" t="s">
        <v>33</v>
      </c>
      <c r="B375" t="s">
        <v>34</v>
      </c>
      <c r="C375" t="s">
        <v>50</v>
      </c>
      <c r="D375" s="1">
        <v>45839</v>
      </c>
      <c r="E375" s="3">
        <v>11000</v>
      </c>
      <c r="F375" t="str">
        <f>+TRIM(B375)</f>
        <v>Sandstone Roofing</v>
      </c>
      <c r="G375" t="str" cm="1">
        <f t="array" ref="G375">_xlfn.IFS(
  ISNUMBER(SEARCH("Core", C375)), "Core Platform",
  ISNUMBER(SEARCH("Analytics", C375)), "Analytics",
  ISNUMBER(SEARCH("Automation", C375)), "Automation"
)</f>
        <v>Automation</v>
      </c>
    </row>
    <row r="376" spans="1:7" x14ac:dyDescent="0.35">
      <c r="A376" t="s">
        <v>5</v>
      </c>
      <c r="B376" t="s">
        <v>6</v>
      </c>
      <c r="C376" t="s">
        <v>28</v>
      </c>
      <c r="D376" s="1">
        <v>45839</v>
      </c>
      <c r="E376" s="3">
        <v>85000</v>
      </c>
      <c r="F376" t="str">
        <f>+TRIM(B376)</f>
        <v>Meridian Water Group</v>
      </c>
      <c r="G376" t="str" cm="1">
        <f t="array" ref="G376">_xlfn.IFS(
  ISNUMBER(SEARCH("Core", C376)), "Core Platform",
  ISNUMBER(SEARCH("Analytics", C376)), "Analytics",
  ISNUMBER(SEARCH("Automation", C376)), "Automation"
)</f>
        <v>Core Platform</v>
      </c>
    </row>
    <row r="377" spans="1:7" x14ac:dyDescent="0.35">
      <c r="A377" t="s">
        <v>48</v>
      </c>
      <c r="B377" t="s">
        <v>49</v>
      </c>
      <c r="C377" t="s">
        <v>21</v>
      </c>
      <c r="D377" s="1">
        <v>45809</v>
      </c>
      <c r="E377" s="3">
        <v>11000</v>
      </c>
      <c r="F377" t="str">
        <f>+TRIM(B377)</f>
        <v>Lakeside Energy</v>
      </c>
      <c r="G377" t="str" cm="1">
        <f t="array" ref="G377">_xlfn.IFS(
  ISNUMBER(SEARCH("Core", C377)), "Core Platform",
  ISNUMBER(SEARCH("Analytics", C377)), "Analytics",
  ISNUMBER(SEARCH("Automation", C377)), "Automation"
)</f>
        <v>Automation</v>
      </c>
    </row>
    <row r="378" spans="1:7" x14ac:dyDescent="0.35">
      <c r="A378" t="s">
        <v>70</v>
      </c>
      <c r="B378" t="s">
        <v>71</v>
      </c>
      <c r="C378" t="s">
        <v>21</v>
      </c>
      <c r="D378" s="1">
        <v>45689</v>
      </c>
      <c r="E378" s="3">
        <v>9000</v>
      </c>
      <c r="F378" t="str">
        <f>+TRIM(B378)</f>
        <v>Vertex Manufacturing</v>
      </c>
      <c r="G378" t="str" cm="1">
        <f t="array" ref="G378">_xlfn.IFS(
  ISNUMBER(SEARCH("Core", C378)), "Core Platform",
  ISNUMBER(SEARCH("Analytics", C378)), "Analytics",
  ISNUMBER(SEARCH("Automation", C378)), "Automation"
)</f>
        <v>Automation</v>
      </c>
    </row>
    <row r="379" spans="1:7" x14ac:dyDescent="0.35">
      <c r="A379" t="s">
        <v>26</v>
      </c>
      <c r="B379" t="s">
        <v>27</v>
      </c>
      <c r="C379" t="s">
        <v>13</v>
      </c>
      <c r="D379" s="1">
        <v>45962</v>
      </c>
      <c r="E379" s="3">
        <v>10000</v>
      </c>
      <c r="F379" t="str">
        <f>+TRIM(B379)</f>
        <v>Blue Harbor Logistics</v>
      </c>
      <c r="G379" t="str" cm="1">
        <f t="array" ref="G379">_xlfn.IFS(
  ISNUMBER(SEARCH("Core", C379)), "Core Platform",
  ISNUMBER(SEARCH("Analytics", C379)), "Analytics",
  ISNUMBER(SEARCH("Automation", C379)), "Automation"
)</f>
        <v>Automation</v>
      </c>
    </row>
    <row r="380" spans="1:7" x14ac:dyDescent="0.35">
      <c r="A380" t="s">
        <v>60</v>
      </c>
      <c r="B380" t="s">
        <v>61</v>
      </c>
      <c r="C380" t="s">
        <v>50</v>
      </c>
      <c r="D380" s="1">
        <v>45627</v>
      </c>
      <c r="E380" s="3">
        <v>18000</v>
      </c>
      <c r="F380" t="str">
        <f>+TRIM(B380)</f>
        <v>Redwood Field Services</v>
      </c>
      <c r="G380" t="str" cm="1">
        <f t="array" ref="G380">_xlfn.IFS(
  ISNUMBER(SEARCH("Core", C380)), "Core Platform",
  ISNUMBER(SEARCH("Analytics", C380)), "Analytics",
  ISNUMBER(SEARCH("Automation", C380)), "Automation"
)</f>
        <v>Automation</v>
      </c>
    </row>
    <row r="381" spans="1:7" x14ac:dyDescent="0.35">
      <c r="A381" t="s">
        <v>17</v>
      </c>
      <c r="B381" t="s">
        <v>18</v>
      </c>
      <c r="C381" t="s">
        <v>7</v>
      </c>
      <c r="D381" s="1">
        <v>45901</v>
      </c>
      <c r="E381" s="3">
        <v>45000</v>
      </c>
      <c r="F381" t="str">
        <f>+TRIM(B381)</f>
        <v>Ironclad Security</v>
      </c>
      <c r="G381" t="str" cm="1">
        <f t="array" ref="G381">_xlfn.IFS(
  ISNUMBER(SEARCH("Core", C381)), "Core Platform",
  ISNUMBER(SEARCH("Analytics", C381)), "Analytics",
  ISNUMBER(SEARCH("Automation", C381)), "Automation"
)</f>
        <v>Analytics</v>
      </c>
    </row>
    <row r="382" spans="1:7" x14ac:dyDescent="0.35">
      <c r="A382" t="s">
        <v>8</v>
      </c>
      <c r="B382" t="s">
        <v>9</v>
      </c>
      <c r="C382" t="s">
        <v>10</v>
      </c>
      <c r="D382" s="1">
        <v>45748</v>
      </c>
      <c r="E382" s="3">
        <v>35000</v>
      </c>
      <c r="F382" t="str">
        <f>+TRIM(B382)</f>
        <v>Cobalt Networks</v>
      </c>
      <c r="G382" t="str" cm="1">
        <f t="array" ref="G382">_xlfn.IFS(
  ISNUMBER(SEARCH("Core", C382)), "Core Platform",
  ISNUMBER(SEARCH("Analytics", C382)), "Analytics",
  ISNUMBER(SEARCH("Automation", C382)), "Automation"
)</f>
        <v>Analytics</v>
      </c>
    </row>
    <row r="383" spans="1:7" x14ac:dyDescent="0.35">
      <c r="A383" t="s">
        <v>24</v>
      </c>
      <c r="B383" t="s">
        <v>45</v>
      </c>
      <c r="C383" t="s">
        <v>28</v>
      </c>
      <c r="D383" s="1">
        <v>45931</v>
      </c>
      <c r="E383" s="3">
        <v>100000</v>
      </c>
      <c r="F383" t="str">
        <f>+TRIM(B383)</f>
        <v>Kestrel Telecom</v>
      </c>
      <c r="G383" t="str" cm="1">
        <f t="array" ref="G383">_xlfn.IFS(
  ISNUMBER(SEARCH("Core", C383)), "Core Platform",
  ISNUMBER(SEARCH("Analytics", C383)), "Analytics",
  ISNUMBER(SEARCH("Automation", C383)), "Automation"
)</f>
        <v>Core Platform</v>
      </c>
    </row>
    <row r="384" spans="1:7" x14ac:dyDescent="0.35">
      <c r="A384" t="s">
        <v>17</v>
      </c>
      <c r="B384" t="s">
        <v>18</v>
      </c>
      <c r="C384" t="s">
        <v>50</v>
      </c>
      <c r="D384" s="1">
        <v>45839</v>
      </c>
      <c r="E384" s="3">
        <v>10000</v>
      </c>
      <c r="F384" t="str">
        <f>+TRIM(B384)</f>
        <v>Ironclad Security</v>
      </c>
      <c r="G384" t="str" cm="1">
        <f t="array" ref="G384">_xlfn.IFS(
  ISNUMBER(SEARCH("Core", C384)), "Core Platform",
  ISNUMBER(SEARCH("Analytics", C384)), "Analytics",
  ISNUMBER(SEARCH("Automation", C384)), "Automation"
)</f>
        <v>Automation</v>
      </c>
    </row>
    <row r="385" spans="1:7" x14ac:dyDescent="0.35">
      <c r="A385" t="s">
        <v>48</v>
      </c>
      <c r="B385" t="s">
        <v>49</v>
      </c>
      <c r="C385" t="s">
        <v>28</v>
      </c>
      <c r="D385" s="1">
        <v>45870</v>
      </c>
      <c r="E385" s="3">
        <v>112000</v>
      </c>
      <c r="F385" t="str">
        <f>+TRIM(B385)</f>
        <v>Lakeside Energy</v>
      </c>
      <c r="G385" t="str" cm="1">
        <f t="array" ref="G385">_xlfn.IFS(
  ISNUMBER(SEARCH("Core", C385)), "Core Platform",
  ISNUMBER(SEARCH("Analytics", C385)), "Analytics",
  ISNUMBER(SEARCH("Automation", C385)), "Automation"
)</f>
        <v>Core Platform</v>
      </c>
    </row>
    <row r="386" spans="1:7" x14ac:dyDescent="0.35">
      <c r="A386" t="s">
        <v>39</v>
      </c>
      <c r="B386" t="s">
        <v>40</v>
      </c>
      <c r="C386" t="s">
        <v>16</v>
      </c>
      <c r="D386" s="1">
        <v>45870</v>
      </c>
      <c r="E386" s="3">
        <v>60000</v>
      </c>
      <c r="F386" t="str">
        <f>+TRIM(B386)</f>
        <v>Foundry Industrial</v>
      </c>
      <c r="G386" t="str" cm="1">
        <f t="array" ref="G386">_xlfn.IFS(
  ISNUMBER(SEARCH("Core", C386)), "Core Platform",
  ISNUMBER(SEARCH("Analytics", C386)), "Analytics",
  ISNUMBER(SEARCH("Automation", C386)), "Automation"
)</f>
        <v>Core Platform</v>
      </c>
    </row>
    <row r="387" spans="1:7" x14ac:dyDescent="0.35">
      <c r="A387" t="s">
        <v>24</v>
      </c>
      <c r="B387" t="s">
        <v>45</v>
      </c>
      <c r="C387" t="s">
        <v>10</v>
      </c>
      <c r="D387" s="1">
        <v>45839</v>
      </c>
      <c r="E387" s="3">
        <v>38000</v>
      </c>
      <c r="F387" t="str">
        <f>+TRIM(B387)</f>
        <v>Kestrel Telecom</v>
      </c>
      <c r="G387" t="str" cm="1">
        <f t="array" ref="G387">_xlfn.IFS(
  ISNUMBER(SEARCH("Core", C387)), "Core Platform",
  ISNUMBER(SEARCH("Analytics", C387)), "Analytics",
  ISNUMBER(SEARCH("Automation", C387)), "Automation"
)</f>
        <v>Analytics</v>
      </c>
    </row>
    <row r="388" spans="1:7" x14ac:dyDescent="0.35">
      <c r="A388" t="s">
        <v>87</v>
      </c>
      <c r="B388" t="s">
        <v>88</v>
      </c>
      <c r="C388" t="s">
        <v>28</v>
      </c>
      <c r="D388" s="1">
        <v>45870</v>
      </c>
      <c r="E388" s="3">
        <v>73000</v>
      </c>
      <c r="F388" t="str">
        <f>+TRIM(B388)</f>
        <v>Brightway Solar</v>
      </c>
      <c r="G388" t="str" cm="1">
        <f t="array" ref="G388">_xlfn.IFS(
  ISNUMBER(SEARCH("Core", C388)), "Core Platform",
  ISNUMBER(SEARCH("Analytics", C388)), "Analytics",
  ISNUMBER(SEARCH("Automation", C388)), "Automation"
)</f>
        <v>Core Platform</v>
      </c>
    </row>
    <row r="389" spans="1:7" x14ac:dyDescent="0.35">
      <c r="A389" t="s">
        <v>48</v>
      </c>
      <c r="B389" t="s">
        <v>49</v>
      </c>
      <c r="C389" t="s">
        <v>7</v>
      </c>
      <c r="D389" s="1">
        <v>45717</v>
      </c>
      <c r="E389" s="3">
        <v>26000</v>
      </c>
      <c r="F389" t="str">
        <f>+TRIM(B389)</f>
        <v>Lakeside Energy</v>
      </c>
      <c r="G389" t="str" cm="1">
        <f t="array" ref="G389">_xlfn.IFS(
  ISNUMBER(SEARCH("Core", C389)), "Core Platform",
  ISNUMBER(SEARCH("Analytics", C389)), "Analytics",
  ISNUMBER(SEARCH("Automation", C389)), "Automation"
)</f>
        <v>Analytics</v>
      </c>
    </row>
    <row r="390" spans="1:7" x14ac:dyDescent="0.35">
      <c r="A390" t="s">
        <v>11</v>
      </c>
      <c r="B390" t="s">
        <v>59</v>
      </c>
      <c r="C390" t="s">
        <v>16</v>
      </c>
      <c r="D390" s="1">
        <v>45627</v>
      </c>
      <c r="E390" s="3">
        <v>118000</v>
      </c>
      <c r="F390" t="str">
        <f>+TRIM(B390)</f>
        <v>Pinecrest Property</v>
      </c>
      <c r="G390" t="str" cm="1">
        <f t="array" ref="G390">_xlfn.IFS(
  ISNUMBER(SEARCH("Core", C390)), "Core Platform",
  ISNUMBER(SEARCH("Analytics", C390)), "Analytics",
  ISNUMBER(SEARCH("Automation", C390)), "Automation"
)</f>
        <v>Core Platform</v>
      </c>
    </row>
    <row r="391" spans="1:7" x14ac:dyDescent="0.35">
      <c r="A391" t="s">
        <v>74</v>
      </c>
      <c r="B391" t="s">
        <v>75</v>
      </c>
      <c r="C391" t="s">
        <v>16</v>
      </c>
      <c r="D391" s="1">
        <v>45748</v>
      </c>
      <c r="E391" s="3">
        <v>120000</v>
      </c>
      <c r="F391" t="str">
        <f>+TRIM(B391)</f>
        <v>Sterling Facilities</v>
      </c>
      <c r="G391" t="str" cm="1">
        <f t="array" ref="G391">_xlfn.IFS(
  ISNUMBER(SEARCH("Core", C391)), "Core Platform",
  ISNUMBER(SEARCH("Analytics", C391)), "Analytics",
  ISNUMBER(SEARCH("Automation", C391)), "Automation"
)</f>
        <v>Core Platform</v>
      </c>
    </row>
    <row r="392" spans="1:7" x14ac:dyDescent="0.35">
      <c r="A392" t="s">
        <v>62</v>
      </c>
      <c r="B392" t="s">
        <v>63</v>
      </c>
      <c r="C392" t="s">
        <v>28</v>
      </c>
      <c r="D392" s="1">
        <v>45689</v>
      </c>
      <c r="E392" s="3">
        <v>62000</v>
      </c>
      <c r="F392" t="str">
        <f>+TRIM(B392)</f>
        <v>Copperfield Electrical</v>
      </c>
      <c r="G392" t="str" cm="1">
        <f t="array" ref="G392">_xlfn.IFS(
  ISNUMBER(SEARCH("Core", C392)), "Core Platform",
  ISNUMBER(SEARCH("Analytics", C392)), "Analytics",
  ISNUMBER(SEARCH("Automation", C392)), "Automation"
)</f>
        <v>Core Platform</v>
      </c>
    </row>
    <row r="393" spans="1:7" x14ac:dyDescent="0.35">
      <c r="A393" t="s">
        <v>53</v>
      </c>
      <c r="B393" t="s">
        <v>54</v>
      </c>
      <c r="C393" t="s">
        <v>7</v>
      </c>
      <c r="D393" s="1">
        <v>45839</v>
      </c>
      <c r="E393" s="3">
        <v>35000</v>
      </c>
      <c r="F393" t="str">
        <f>+TRIM(B393)</f>
        <v>Maple Grove Maintenance</v>
      </c>
      <c r="G393" t="str" cm="1">
        <f t="array" ref="G393">_xlfn.IFS(
  ISNUMBER(SEARCH("Core", C393)), "Core Platform",
  ISNUMBER(SEARCH("Analytics", C393)), "Analytics",
  ISNUMBER(SEARCH("Automation", C393)), "Automation"
)</f>
        <v>Analytics</v>
      </c>
    </row>
    <row r="394" spans="1:7" x14ac:dyDescent="0.35">
      <c r="A394" t="s">
        <v>33</v>
      </c>
      <c r="B394" t="s">
        <v>34</v>
      </c>
      <c r="C394" t="s">
        <v>28</v>
      </c>
      <c r="D394" s="1">
        <v>45717</v>
      </c>
      <c r="E394" s="3">
        <v>66000</v>
      </c>
      <c r="F394" t="str">
        <f>+TRIM(B394)</f>
        <v>Sandstone Roofing</v>
      </c>
      <c r="G394" t="str" cm="1">
        <f t="array" ref="G394">_xlfn.IFS(
  ISNUMBER(SEARCH("Core", C394)), "Core Platform",
  ISNUMBER(SEARCH("Analytics", C394)), "Analytics",
  ISNUMBER(SEARCH("Automation", C394)), "Automation"
)</f>
        <v>Core Platform</v>
      </c>
    </row>
    <row r="395" spans="1:7" x14ac:dyDescent="0.35">
      <c r="A395" t="s">
        <v>68</v>
      </c>
      <c r="B395" t="s">
        <v>69</v>
      </c>
      <c r="C395" t="s">
        <v>16</v>
      </c>
      <c r="D395" s="1">
        <v>45962</v>
      </c>
      <c r="E395" s="3">
        <v>40000</v>
      </c>
      <c r="F395" t="str">
        <f>+TRIM(B395)</f>
        <v>Silverline Rail</v>
      </c>
      <c r="G395" t="str" cm="1">
        <f t="array" ref="G395">_xlfn.IFS(
  ISNUMBER(SEARCH("Core", C395)), "Core Platform",
  ISNUMBER(SEARCH("Analytics", C395)), "Analytics",
  ISNUMBER(SEARCH("Automation", C395)), "Automation"
)</f>
        <v>Core Platform</v>
      </c>
    </row>
    <row r="396" spans="1:7" x14ac:dyDescent="0.35">
      <c r="A396" t="s">
        <v>22</v>
      </c>
      <c r="B396" t="s">
        <v>23</v>
      </c>
      <c r="C396" t="s">
        <v>16</v>
      </c>
      <c r="D396" s="1">
        <v>45839</v>
      </c>
      <c r="E396" s="3">
        <v>111000</v>
      </c>
      <c r="F396" t="str">
        <f>+TRIM(B396)</f>
        <v>Ridgeline HVAC</v>
      </c>
      <c r="G396" t="str" cm="1">
        <f t="array" ref="G396">_xlfn.IFS(
  ISNUMBER(SEARCH("Core", C396)), "Core Platform",
  ISNUMBER(SEARCH("Analytics", C396)), "Analytics",
  ISNUMBER(SEARCH("Automation", C396)), "Automation"
)</f>
        <v>Core Platform</v>
      </c>
    </row>
    <row r="397" spans="1:7" x14ac:dyDescent="0.35">
      <c r="A397" t="s">
        <v>48</v>
      </c>
      <c r="B397" t="s">
        <v>49</v>
      </c>
      <c r="C397" t="s">
        <v>16</v>
      </c>
      <c r="D397" s="1">
        <v>45658</v>
      </c>
      <c r="E397" s="3">
        <v>100000</v>
      </c>
      <c r="F397" t="str">
        <f>+TRIM(B397)</f>
        <v>Lakeside Energy</v>
      </c>
      <c r="G397" t="str" cm="1">
        <f t="array" ref="G397">_xlfn.IFS(
  ISNUMBER(SEARCH("Core", C397)), "Core Platform",
  ISNUMBER(SEARCH("Analytics", C397)), "Analytics",
  ISNUMBER(SEARCH("Automation", C397)), "Automation"
)</f>
        <v>Core Platform</v>
      </c>
    </row>
    <row r="398" spans="1:7" x14ac:dyDescent="0.35">
      <c r="A398" t="s">
        <v>91</v>
      </c>
      <c r="B398" t="s">
        <v>92</v>
      </c>
      <c r="C398" t="s">
        <v>10</v>
      </c>
      <c r="D398" s="1">
        <v>45962</v>
      </c>
      <c r="E398" s="3">
        <v>25000</v>
      </c>
      <c r="F398" t="str">
        <f>+TRIM(B398)</f>
        <v>Trailhead Equipment</v>
      </c>
      <c r="G398" t="str" cm="1">
        <f t="array" ref="G398">_xlfn.IFS(
  ISNUMBER(SEARCH("Core", C398)), "Core Platform",
  ISNUMBER(SEARCH("Analytics", C398)), "Analytics",
  ISNUMBER(SEARCH("Automation", C398)), "Automation"
)</f>
        <v>Analytics</v>
      </c>
    </row>
    <row r="399" spans="1:7" x14ac:dyDescent="0.35">
      <c r="A399" t="s">
        <v>26</v>
      </c>
      <c r="B399" t="s">
        <v>27</v>
      </c>
      <c r="C399" t="s">
        <v>16</v>
      </c>
      <c r="D399" s="1">
        <v>45901</v>
      </c>
      <c r="E399" s="3">
        <v>72000</v>
      </c>
      <c r="F399" t="str">
        <f>+TRIM(B399)</f>
        <v>Blue Harbor Logistics</v>
      </c>
      <c r="G399" t="str" cm="1">
        <f t="array" ref="G399">_xlfn.IFS(
  ISNUMBER(SEARCH("Core", C399)), "Core Platform",
  ISNUMBER(SEARCH("Analytics", C399)), "Analytics",
  ISNUMBER(SEARCH("Automation", C399)), "Automation"
)</f>
        <v>Core Platform</v>
      </c>
    </row>
    <row r="400" spans="1:7" x14ac:dyDescent="0.35">
      <c r="A400" t="s">
        <v>78</v>
      </c>
      <c r="B400" t="s">
        <v>79</v>
      </c>
      <c r="C400" t="s">
        <v>28</v>
      </c>
      <c r="D400" s="1">
        <v>45717</v>
      </c>
      <c r="E400" s="3">
        <v>49000</v>
      </c>
      <c r="F400" t="str">
        <f>+TRIM(B400)</f>
        <v>Orion Building Systems</v>
      </c>
      <c r="G400" t="str" cm="1">
        <f t="array" ref="G400">_xlfn.IFS(
  ISNUMBER(SEARCH("Core", C400)), "Core Platform",
  ISNUMBER(SEARCH("Analytics", C400)), "Analytics",
  ISNUMBER(SEARCH("Automation", C400)), "Automation"
)</f>
        <v>Core Platform</v>
      </c>
    </row>
    <row r="401" spans="1:7" x14ac:dyDescent="0.35">
      <c r="A401" t="s">
        <v>48</v>
      </c>
      <c r="B401" t="s">
        <v>49</v>
      </c>
      <c r="C401" t="s">
        <v>16</v>
      </c>
      <c r="D401" s="1">
        <v>45839</v>
      </c>
      <c r="E401" s="3">
        <v>112000</v>
      </c>
      <c r="F401" t="str">
        <f>+TRIM(B401)</f>
        <v>Lakeside Energy</v>
      </c>
      <c r="G401" t="str" cm="1">
        <f t="array" ref="G401">_xlfn.IFS(
  ISNUMBER(SEARCH("Core", C401)), "Core Platform",
  ISNUMBER(SEARCH("Analytics", C401)), "Analytics",
  ISNUMBER(SEARCH("Automation", C401)), "Automation"
)</f>
        <v>Core Platform</v>
      </c>
    </row>
    <row r="402" spans="1:7" x14ac:dyDescent="0.35">
      <c r="A402" t="s">
        <v>33</v>
      </c>
      <c r="B402" t="s">
        <v>34</v>
      </c>
      <c r="C402" t="s">
        <v>21</v>
      </c>
      <c r="D402" s="1">
        <v>45870</v>
      </c>
      <c r="E402" s="3">
        <v>11000</v>
      </c>
      <c r="F402" t="str">
        <f>+TRIM(B402)</f>
        <v>Sandstone Roofing</v>
      </c>
      <c r="G402" t="str" cm="1">
        <f t="array" ref="G402">_xlfn.IFS(
  ISNUMBER(SEARCH("Core", C402)), "Core Platform",
  ISNUMBER(SEARCH("Analytics", C402)), "Analytics",
  ISNUMBER(SEARCH("Automation", C402)), "Automation"
)</f>
        <v>Automation</v>
      </c>
    </row>
    <row r="403" spans="1:7" x14ac:dyDescent="0.35">
      <c r="A403" t="s">
        <v>19</v>
      </c>
      <c r="B403" t="s">
        <v>20</v>
      </c>
      <c r="C403" t="s">
        <v>16</v>
      </c>
      <c r="D403" s="1">
        <v>45809</v>
      </c>
      <c r="E403" s="3">
        <v>79000</v>
      </c>
      <c r="F403" t="str">
        <f>+TRIM(B403)</f>
        <v>Granite State Mechanical</v>
      </c>
      <c r="G403" t="str" cm="1">
        <f t="array" ref="G403">_xlfn.IFS(
  ISNUMBER(SEARCH("Core", C403)), "Core Platform",
  ISNUMBER(SEARCH("Analytics", C403)), "Analytics",
  ISNUMBER(SEARCH("Automation", C403)), "Automation"
)</f>
        <v>Core Platform</v>
      </c>
    </row>
    <row r="404" spans="1:7" x14ac:dyDescent="0.35">
      <c r="A404" t="s">
        <v>51</v>
      </c>
      <c r="B404" t="s">
        <v>52</v>
      </c>
      <c r="C404" t="s">
        <v>10</v>
      </c>
      <c r="D404" s="1">
        <v>45658</v>
      </c>
      <c r="E404" s="3">
        <v>27000</v>
      </c>
      <c r="F404" t="str">
        <f>+TRIM(B404)</f>
        <v>Cedar Peak Utilities</v>
      </c>
      <c r="G404" t="str" cm="1">
        <f t="array" ref="G404">_xlfn.IFS(
  ISNUMBER(SEARCH("Core", C404)), "Core Platform",
  ISNUMBER(SEARCH("Analytics", C404)), "Analytics",
  ISNUMBER(SEARCH("Automation", C404)), "Automation"
)</f>
        <v>Analytics</v>
      </c>
    </row>
    <row r="405" spans="1:7" x14ac:dyDescent="0.35">
      <c r="A405" t="s">
        <v>29</v>
      </c>
      <c r="B405" t="s">
        <v>46</v>
      </c>
      <c r="C405" t="s">
        <v>10</v>
      </c>
      <c r="D405" s="1">
        <v>45839</v>
      </c>
      <c r="E405" s="3">
        <v>36000</v>
      </c>
      <c r="F405" t="str">
        <f>+TRIM(B405)</f>
        <v>Atlas Elevator Co</v>
      </c>
      <c r="G405" t="str" cm="1">
        <f t="array" ref="G405">_xlfn.IFS(
  ISNUMBER(SEARCH("Core", C405)), "Core Platform",
  ISNUMBER(SEARCH("Analytics", C405)), "Analytics",
  ISNUMBER(SEARCH("Automation", C405)), "Automation"
)</f>
        <v>Analytics</v>
      </c>
    </row>
    <row r="406" spans="1:7" x14ac:dyDescent="0.35">
      <c r="A406" t="s">
        <v>72</v>
      </c>
      <c r="B406" t="s">
        <v>73</v>
      </c>
      <c r="C406" t="s">
        <v>28</v>
      </c>
      <c r="D406" s="1">
        <v>45839</v>
      </c>
      <c r="E406" s="3">
        <v>117000</v>
      </c>
      <c r="F406" t="str">
        <f>+TRIM(B406)</f>
        <v>Northwind Trading</v>
      </c>
      <c r="G406" t="str" cm="1">
        <f t="array" ref="G406">_xlfn.IFS(
  ISNUMBER(SEARCH("Core", C406)), "Core Platform",
  ISNUMBER(SEARCH("Analytics", C406)), "Analytics",
  ISNUMBER(SEARCH("Automation", C406)), "Automation"
)</f>
        <v>Core Platform</v>
      </c>
    </row>
    <row r="407" spans="1:7" x14ac:dyDescent="0.35">
      <c r="A407" t="s">
        <v>37</v>
      </c>
      <c r="B407" t="s">
        <v>38</v>
      </c>
      <c r="C407" t="s">
        <v>28</v>
      </c>
      <c r="D407" s="1">
        <v>45901</v>
      </c>
      <c r="E407" s="3">
        <v>88000</v>
      </c>
      <c r="F407" t="str">
        <f>+TRIM(B407)</f>
        <v>Fairwind Marine</v>
      </c>
      <c r="G407" t="str" cm="1">
        <f t="array" ref="G407">_xlfn.IFS(
  ISNUMBER(SEARCH("Core", C407)), "Core Platform",
  ISNUMBER(SEARCH("Analytics", C407)), "Analytics",
  ISNUMBER(SEARCH("Automation", C407)), "Automation"
)</f>
        <v>Core Platform</v>
      </c>
    </row>
    <row r="408" spans="1:7" x14ac:dyDescent="0.35">
      <c r="A408" t="s">
        <v>70</v>
      </c>
      <c r="B408" t="s">
        <v>71</v>
      </c>
      <c r="C408" t="s">
        <v>28</v>
      </c>
      <c r="D408" s="1">
        <v>45689</v>
      </c>
      <c r="E408" s="3">
        <v>85000</v>
      </c>
      <c r="F408" t="str">
        <f>+TRIM(B408)</f>
        <v>Vertex Manufacturing</v>
      </c>
      <c r="G408" t="str" cm="1">
        <f t="array" ref="G408">_xlfn.IFS(
  ISNUMBER(SEARCH("Core", C408)), "Core Platform",
  ISNUMBER(SEARCH("Analytics", C408)), "Analytics",
  ISNUMBER(SEARCH("Automation", C408)), "Automation"
)</f>
        <v>Core Platform</v>
      </c>
    </row>
    <row r="409" spans="1:7" x14ac:dyDescent="0.35">
      <c r="A409" t="s">
        <v>70</v>
      </c>
      <c r="B409" t="s">
        <v>71</v>
      </c>
      <c r="C409" t="s">
        <v>21</v>
      </c>
      <c r="D409" s="1">
        <v>45931</v>
      </c>
      <c r="E409" s="3">
        <v>9000</v>
      </c>
      <c r="F409" t="str">
        <f>+TRIM(B409)</f>
        <v>Vertex Manufacturing</v>
      </c>
      <c r="G409" t="str" cm="1">
        <f t="array" ref="G409">_xlfn.IFS(
  ISNUMBER(SEARCH("Core", C409)), "Core Platform",
  ISNUMBER(SEARCH("Analytics", C409)), "Analytics",
  ISNUMBER(SEARCH("Automation", C409)), "Automation"
)</f>
        <v>Automation</v>
      </c>
    </row>
    <row r="410" spans="1:7" x14ac:dyDescent="0.35">
      <c r="A410" t="s">
        <v>29</v>
      </c>
      <c r="B410" t="s">
        <v>46</v>
      </c>
      <c r="C410" t="s">
        <v>10</v>
      </c>
      <c r="D410" s="1">
        <v>45627</v>
      </c>
      <c r="E410" s="3">
        <v>28000</v>
      </c>
      <c r="F410" t="str">
        <f>+TRIM(B410)</f>
        <v>Atlas Elevator Co</v>
      </c>
      <c r="G410" t="str" cm="1">
        <f t="array" ref="G410">_xlfn.IFS(
  ISNUMBER(SEARCH("Core", C410)), "Core Platform",
  ISNUMBER(SEARCH("Analytics", C410)), "Analytics",
  ISNUMBER(SEARCH("Automation", C410)), "Automation"
)</f>
        <v>Analytics</v>
      </c>
    </row>
    <row r="411" spans="1:7" x14ac:dyDescent="0.35">
      <c r="A411" t="s">
        <v>24</v>
      </c>
      <c r="B411" t="s">
        <v>45</v>
      </c>
      <c r="C411" t="s">
        <v>28</v>
      </c>
      <c r="D411" s="1">
        <v>45962</v>
      </c>
      <c r="E411" s="3">
        <v>100000</v>
      </c>
      <c r="F411" t="str">
        <f>+TRIM(B411)</f>
        <v>Kestrel Telecom</v>
      </c>
      <c r="G411" t="str" cm="1">
        <f t="array" ref="G411">_xlfn.IFS(
  ISNUMBER(SEARCH("Core", C411)), "Core Platform",
  ISNUMBER(SEARCH("Analytics", C411)), "Analytics",
  ISNUMBER(SEARCH("Automation", C411)), "Automation"
)</f>
        <v>Core Platform</v>
      </c>
    </row>
    <row r="412" spans="1:7" x14ac:dyDescent="0.35">
      <c r="A412" t="s">
        <v>78</v>
      </c>
      <c r="B412" t="s">
        <v>79</v>
      </c>
      <c r="C412" t="s">
        <v>16</v>
      </c>
      <c r="D412" s="1">
        <v>45901</v>
      </c>
      <c r="E412" s="3">
        <v>49000</v>
      </c>
      <c r="F412" t="str">
        <f>+TRIM(B412)</f>
        <v>Orion Building Systems</v>
      </c>
      <c r="G412" t="str" cm="1">
        <f t="array" ref="G412">_xlfn.IFS(
  ISNUMBER(SEARCH("Core", C412)), "Core Platform",
  ISNUMBER(SEARCH("Analytics", C412)), "Analytics",
  ISNUMBER(SEARCH("Automation", C412)), "Automation"
)</f>
        <v>Core Platform</v>
      </c>
    </row>
    <row r="413" spans="1:7" x14ac:dyDescent="0.35">
      <c r="A413" t="s">
        <v>55</v>
      </c>
      <c r="B413" t="s">
        <v>56</v>
      </c>
      <c r="C413" t="s">
        <v>16</v>
      </c>
      <c r="D413" s="1">
        <v>45901</v>
      </c>
      <c r="E413" s="3">
        <v>69000</v>
      </c>
      <c r="F413" t="str">
        <f>+TRIM(B413)</f>
        <v>Quartz Data Centers</v>
      </c>
      <c r="G413" t="str" cm="1">
        <f t="array" ref="G413">_xlfn.IFS(
  ISNUMBER(SEARCH("Core", C413)), "Core Platform",
  ISNUMBER(SEARCH("Analytics", C413)), "Analytics",
  ISNUMBER(SEARCH("Automation", C413)), "Automation"
)</f>
        <v>Core Platform</v>
      </c>
    </row>
    <row r="414" spans="1:7" x14ac:dyDescent="0.35">
      <c r="A414" t="s">
        <v>35</v>
      </c>
      <c r="B414" t="s">
        <v>36</v>
      </c>
      <c r="C414" t="s">
        <v>28</v>
      </c>
      <c r="D414" s="1">
        <v>45962</v>
      </c>
      <c r="E414" s="3">
        <v>33000</v>
      </c>
      <c r="F414" t="str">
        <f>+TRIM(B414)</f>
        <v>Halcyon Pharma</v>
      </c>
      <c r="G414" t="str" cm="1">
        <f t="array" ref="G414">_xlfn.IFS(
  ISNUMBER(SEARCH("Core", C414)), "Core Platform",
  ISNUMBER(SEARCH("Analytics", C414)), "Analytics",
  ISNUMBER(SEARCH("Automation", C414)), "Automation"
)</f>
        <v>Core Platform</v>
      </c>
    </row>
    <row r="415" spans="1:7" x14ac:dyDescent="0.35">
      <c r="A415" t="s">
        <v>48</v>
      </c>
      <c r="B415" t="s">
        <v>49</v>
      </c>
      <c r="C415" t="s">
        <v>28</v>
      </c>
      <c r="D415" s="1">
        <v>45962</v>
      </c>
      <c r="E415" s="3">
        <v>112000</v>
      </c>
      <c r="F415" t="str">
        <f>+TRIM(B415)</f>
        <v>Lakeside Energy</v>
      </c>
      <c r="G415" t="str" cm="1">
        <f t="array" ref="G415">_xlfn.IFS(
  ISNUMBER(SEARCH("Core", C415)), "Core Platform",
  ISNUMBER(SEARCH("Analytics", C415)), "Analytics",
  ISNUMBER(SEARCH("Automation", C415)), "Automation"
)</f>
        <v>Core Platform</v>
      </c>
    </row>
    <row r="416" spans="1:7" x14ac:dyDescent="0.35">
      <c r="A416" t="s">
        <v>14</v>
      </c>
      <c r="B416" t="s">
        <v>15</v>
      </c>
      <c r="C416" t="s">
        <v>28</v>
      </c>
      <c r="D416" s="1">
        <v>45839</v>
      </c>
      <c r="E416" s="3">
        <v>79000</v>
      </c>
      <c r="F416" t="str">
        <f>+TRIM(B416)</f>
        <v>Willowbrook Care</v>
      </c>
      <c r="G416" t="str" cm="1">
        <f t="array" ref="G416">_xlfn.IFS(
  ISNUMBER(SEARCH("Core", C416)), "Core Platform",
  ISNUMBER(SEARCH("Analytics", C416)), "Analytics",
  ISNUMBER(SEARCH("Automation", C416)), "Automation"
)</f>
        <v>Core Platform</v>
      </c>
    </row>
    <row r="417" spans="1:7" x14ac:dyDescent="0.35">
      <c r="A417" t="s">
        <v>39</v>
      </c>
      <c r="B417" t="s">
        <v>40</v>
      </c>
      <c r="C417" t="s">
        <v>16</v>
      </c>
      <c r="D417" s="1">
        <v>45778</v>
      </c>
      <c r="E417" s="3">
        <v>60000</v>
      </c>
      <c r="F417" t="str">
        <f>+TRIM(B417)</f>
        <v>Foundry Industrial</v>
      </c>
      <c r="G417" t="str" cm="1">
        <f t="array" ref="G417">_xlfn.IFS(
  ISNUMBER(SEARCH("Core", C417)), "Core Platform",
  ISNUMBER(SEARCH("Analytics", C417)), "Analytics",
  ISNUMBER(SEARCH("Automation", C417)), "Automation"
)</f>
        <v>Core Platform</v>
      </c>
    </row>
    <row r="418" spans="1:7" x14ac:dyDescent="0.35">
      <c r="A418" t="s">
        <v>41</v>
      </c>
      <c r="B418" t="s">
        <v>42</v>
      </c>
      <c r="C418" t="s">
        <v>10</v>
      </c>
      <c r="D418" s="1">
        <v>45992</v>
      </c>
      <c r="E418" s="3">
        <v>21000</v>
      </c>
      <c r="F418" t="str">
        <f>+TRIM(B418)</f>
        <v>Delta Refrigeration</v>
      </c>
      <c r="G418" t="str" cm="1">
        <f t="array" ref="G418">_xlfn.IFS(
  ISNUMBER(SEARCH("Core", C418)), "Core Platform",
  ISNUMBER(SEARCH("Analytics", C418)), "Analytics",
  ISNUMBER(SEARCH("Automation", C418)), "Automation"
)</f>
        <v>Analytics</v>
      </c>
    </row>
    <row r="419" spans="1:7" x14ac:dyDescent="0.35">
      <c r="A419" t="s">
        <v>37</v>
      </c>
      <c r="B419" t="s">
        <v>38</v>
      </c>
      <c r="C419" t="s">
        <v>16</v>
      </c>
      <c r="D419" s="1">
        <v>45839</v>
      </c>
      <c r="E419" s="3">
        <v>88000</v>
      </c>
      <c r="F419" t="str">
        <f>+TRIM(B419)</f>
        <v>Fairwind Marine</v>
      </c>
      <c r="G419" t="str" cm="1">
        <f t="array" ref="G419">_xlfn.IFS(
  ISNUMBER(SEARCH("Core", C419)), "Core Platform",
  ISNUMBER(SEARCH("Analytics", C419)), "Analytics",
  ISNUMBER(SEARCH("Automation", C419)), "Automation"
)</f>
        <v>Core Platform</v>
      </c>
    </row>
    <row r="420" spans="1:7" x14ac:dyDescent="0.35">
      <c r="A420" t="s">
        <v>41</v>
      </c>
      <c r="B420" t="s">
        <v>42</v>
      </c>
      <c r="C420" t="s">
        <v>7</v>
      </c>
      <c r="D420" s="1">
        <v>45809</v>
      </c>
      <c r="E420" s="3">
        <v>17000</v>
      </c>
      <c r="F420" t="str">
        <f>+TRIM(B420)</f>
        <v>Delta Refrigeration</v>
      </c>
      <c r="G420" t="str" cm="1">
        <f t="array" ref="G420">_xlfn.IFS(
  ISNUMBER(SEARCH("Core", C420)), "Core Platform",
  ISNUMBER(SEARCH("Analytics", C420)), "Analytics",
  ISNUMBER(SEARCH("Automation", C420)), "Automation"
)</f>
        <v>Analytics</v>
      </c>
    </row>
    <row r="421" spans="1:7" x14ac:dyDescent="0.35">
      <c r="A421" t="s">
        <v>22</v>
      </c>
      <c r="B421" t="s">
        <v>23</v>
      </c>
      <c r="C421" t="s">
        <v>28</v>
      </c>
      <c r="D421" s="1">
        <v>45689</v>
      </c>
      <c r="E421" s="3">
        <v>111000</v>
      </c>
      <c r="F421" t="str">
        <f>+TRIM(B421)</f>
        <v>Ridgeline HVAC</v>
      </c>
      <c r="G421" t="str" cm="1">
        <f t="array" ref="G421">_xlfn.IFS(
  ISNUMBER(SEARCH("Core", C421)), "Core Platform",
  ISNUMBER(SEARCH("Analytics", C421)), "Analytics",
  ISNUMBER(SEARCH("Automation", C421)), "Automation"
)</f>
        <v>Core Platform</v>
      </c>
    </row>
    <row r="422" spans="1:7" x14ac:dyDescent="0.35">
      <c r="A422" t="s">
        <v>60</v>
      </c>
      <c r="B422" t="s">
        <v>61</v>
      </c>
      <c r="C422" t="s">
        <v>10</v>
      </c>
      <c r="D422" s="1">
        <v>45658</v>
      </c>
      <c r="E422" s="3">
        <v>23000</v>
      </c>
      <c r="F422" t="str">
        <f>+TRIM(B422)</f>
        <v>Redwood Field Services</v>
      </c>
      <c r="G422" t="str" cm="1">
        <f t="array" ref="G422">_xlfn.IFS(
  ISNUMBER(SEARCH("Core", C422)), "Core Platform",
  ISNUMBER(SEARCH("Analytics", C422)), "Analytics",
  ISNUMBER(SEARCH("Automation", C422)), "Automation"
)</f>
        <v>Analytics</v>
      </c>
    </row>
    <row r="423" spans="1:7" x14ac:dyDescent="0.35">
      <c r="A423" t="s">
        <v>57</v>
      </c>
      <c r="B423" t="s">
        <v>58</v>
      </c>
      <c r="C423" t="s">
        <v>16</v>
      </c>
      <c r="D423" s="1">
        <v>45992</v>
      </c>
      <c r="E423" s="3">
        <v>52000</v>
      </c>
      <c r="F423" t="str">
        <f>+TRIM(B423)</f>
        <v>Everest Drilling</v>
      </c>
      <c r="G423" t="str" cm="1">
        <f t="array" ref="G423">_xlfn.IFS(
  ISNUMBER(SEARCH("Core", C423)), "Core Platform",
  ISNUMBER(SEARCH("Analytics", C423)), "Analytics",
  ISNUMBER(SEARCH("Automation", C423)), "Automation"
)</f>
        <v>Core Platform</v>
      </c>
    </row>
    <row r="424" spans="1:7" x14ac:dyDescent="0.35">
      <c r="A424" t="s">
        <v>11</v>
      </c>
      <c r="B424" t="s">
        <v>59</v>
      </c>
      <c r="C424" t="s">
        <v>28</v>
      </c>
      <c r="D424" s="1">
        <v>45717</v>
      </c>
      <c r="E424" s="3">
        <v>118000</v>
      </c>
      <c r="F424" t="str">
        <f>+TRIM(B424)</f>
        <v>Pinecrest Property</v>
      </c>
      <c r="G424" t="str" cm="1">
        <f t="array" ref="G424">_xlfn.IFS(
  ISNUMBER(SEARCH("Core", C424)), "Core Platform",
  ISNUMBER(SEARCH("Analytics", C424)), "Analytics",
  ISNUMBER(SEARCH("Automation", C424)), "Automation"
)</f>
        <v>Core Platform</v>
      </c>
    </row>
    <row r="425" spans="1:7" x14ac:dyDescent="0.35">
      <c r="A425" t="s">
        <v>24</v>
      </c>
      <c r="B425" t="s">
        <v>45</v>
      </c>
      <c r="C425" t="s">
        <v>10</v>
      </c>
      <c r="D425" s="1">
        <v>45689</v>
      </c>
      <c r="E425" s="3">
        <v>31000</v>
      </c>
      <c r="F425" t="str">
        <f>+TRIM(B425)</f>
        <v>Kestrel Telecom</v>
      </c>
      <c r="G425" t="str" cm="1">
        <f t="array" ref="G425">_xlfn.IFS(
  ISNUMBER(SEARCH("Core", C425)), "Core Platform",
  ISNUMBER(SEARCH("Analytics", C425)), "Analytics",
  ISNUMBER(SEARCH("Automation", C425)), "Automation"
)</f>
        <v>Analytics</v>
      </c>
    </row>
    <row r="426" spans="1:7" x14ac:dyDescent="0.35">
      <c r="A426" t="s">
        <v>48</v>
      </c>
      <c r="B426" t="s">
        <v>49</v>
      </c>
      <c r="C426" t="s">
        <v>50</v>
      </c>
      <c r="D426" s="1">
        <v>45748</v>
      </c>
      <c r="E426" s="3">
        <v>11000</v>
      </c>
      <c r="F426" t="str">
        <f>+TRIM(B426)</f>
        <v>Lakeside Energy</v>
      </c>
      <c r="G426" t="str" cm="1">
        <f t="array" ref="G426">_xlfn.IFS(
  ISNUMBER(SEARCH("Core", C426)), "Core Platform",
  ISNUMBER(SEARCH("Analytics", C426)), "Analytics",
  ISNUMBER(SEARCH("Automation", C426)), "Automation"
)</f>
        <v>Automation</v>
      </c>
    </row>
    <row r="427" spans="1:7" x14ac:dyDescent="0.35">
      <c r="A427" t="s">
        <v>5</v>
      </c>
      <c r="B427" t="s">
        <v>6</v>
      </c>
      <c r="C427" t="s">
        <v>21</v>
      </c>
      <c r="D427" s="1">
        <v>45839</v>
      </c>
      <c r="E427" s="3">
        <v>19000</v>
      </c>
      <c r="F427" t="str">
        <f>+TRIM(B427)</f>
        <v>Meridian Water Group</v>
      </c>
      <c r="G427" t="str" cm="1">
        <f t="array" ref="G427">_xlfn.IFS(
  ISNUMBER(SEARCH("Core", C427)), "Core Platform",
  ISNUMBER(SEARCH("Analytics", C427)), "Analytics",
  ISNUMBER(SEARCH("Automation", C427)), "Automation"
)</f>
        <v>Automation</v>
      </c>
    </row>
    <row r="428" spans="1:7" x14ac:dyDescent="0.35">
      <c r="A428" t="s">
        <v>5</v>
      </c>
      <c r="B428" t="s">
        <v>6</v>
      </c>
      <c r="C428" t="s">
        <v>65</v>
      </c>
      <c r="D428" s="1">
        <v>45748</v>
      </c>
      <c r="E428" s="3">
        <v>24000</v>
      </c>
      <c r="F428" t="str">
        <f>+TRIM(B428)</f>
        <v>Meridian Water Group</v>
      </c>
      <c r="G428" t="str" cm="1">
        <f t="array" ref="G428">_xlfn.IFS(
  ISNUMBER(SEARCH("Core", C428)), "Core Platform",
  ISNUMBER(SEARCH("Analytics", C428)), "Analytics",
  ISNUMBER(SEARCH("Automation", C428)), "Automation"
)</f>
        <v>Analytics</v>
      </c>
    </row>
    <row r="429" spans="1:7" x14ac:dyDescent="0.35">
      <c r="A429" t="s">
        <v>22</v>
      </c>
      <c r="B429" t="s">
        <v>23</v>
      </c>
      <c r="C429" t="s">
        <v>28</v>
      </c>
      <c r="D429" s="1">
        <v>45658</v>
      </c>
      <c r="E429" s="3">
        <v>111000</v>
      </c>
      <c r="F429" t="str">
        <f>+TRIM(B429)</f>
        <v>Ridgeline HVAC</v>
      </c>
      <c r="G429" t="str" cm="1">
        <f t="array" ref="G429">_xlfn.IFS(
  ISNUMBER(SEARCH("Core", C429)), "Core Platform",
  ISNUMBER(SEARCH("Analytics", C429)), "Analytics",
  ISNUMBER(SEARCH("Automation", C429)), "Automation"
)</f>
        <v>Core Platform</v>
      </c>
    </row>
    <row r="430" spans="1:7" x14ac:dyDescent="0.35">
      <c r="A430" t="s">
        <v>19</v>
      </c>
      <c r="B430" t="s">
        <v>20</v>
      </c>
      <c r="C430" t="s">
        <v>21</v>
      </c>
      <c r="D430" s="1">
        <v>45931</v>
      </c>
      <c r="E430" s="3">
        <v>10000</v>
      </c>
      <c r="F430" t="str">
        <f>+TRIM(B430)</f>
        <v>Granite State Mechanical</v>
      </c>
      <c r="G430" t="str" cm="1">
        <f t="array" ref="G430">_xlfn.IFS(
  ISNUMBER(SEARCH("Core", C430)), "Core Platform",
  ISNUMBER(SEARCH("Analytics", C430)), "Analytics",
  ISNUMBER(SEARCH("Automation", C430)), "Automation"
)</f>
        <v>Automation</v>
      </c>
    </row>
    <row r="431" spans="1:7" x14ac:dyDescent="0.35">
      <c r="A431" t="s">
        <v>11</v>
      </c>
      <c r="B431" t="s">
        <v>59</v>
      </c>
      <c r="C431" t="s">
        <v>50</v>
      </c>
      <c r="D431" s="1">
        <v>45839</v>
      </c>
      <c r="E431" s="3">
        <v>27000</v>
      </c>
      <c r="F431" t="str">
        <f>+TRIM(B431)</f>
        <v>Pinecrest Property</v>
      </c>
      <c r="G431" t="str" cm="1">
        <f t="array" ref="G431">_xlfn.IFS(
  ISNUMBER(SEARCH("Core", C431)), "Core Platform",
  ISNUMBER(SEARCH("Analytics", C431)), "Analytics",
  ISNUMBER(SEARCH("Automation", C431)), "Automation"
)</f>
        <v>Automation</v>
      </c>
    </row>
    <row r="432" spans="1:7" x14ac:dyDescent="0.35">
      <c r="A432" t="s">
        <v>39</v>
      </c>
      <c r="B432" t="s">
        <v>40</v>
      </c>
      <c r="C432" t="s">
        <v>10</v>
      </c>
      <c r="D432" s="1">
        <v>45870</v>
      </c>
      <c r="E432" s="3">
        <v>31000</v>
      </c>
      <c r="F432" t="str">
        <f>+TRIM(B432)</f>
        <v>Foundry Industrial</v>
      </c>
      <c r="G432" t="str" cm="1">
        <f t="array" ref="G432">_xlfn.IFS(
  ISNUMBER(SEARCH("Core", C432)), "Core Platform",
  ISNUMBER(SEARCH("Analytics", C432)), "Analytics",
  ISNUMBER(SEARCH("Automation", C432)), "Automation"
)</f>
        <v>Analytics</v>
      </c>
    </row>
    <row r="433" spans="1:7" x14ac:dyDescent="0.35">
      <c r="A433" t="s">
        <v>19</v>
      </c>
      <c r="B433" t="s">
        <v>20</v>
      </c>
      <c r="C433" t="s">
        <v>10</v>
      </c>
      <c r="D433" s="1">
        <v>45809</v>
      </c>
      <c r="E433" s="3">
        <v>30000</v>
      </c>
      <c r="F433" t="str">
        <f>+TRIM(B433)</f>
        <v>Granite State Mechanical</v>
      </c>
      <c r="G433" t="str" cm="1">
        <f t="array" ref="G433">_xlfn.IFS(
  ISNUMBER(SEARCH("Core", C433)), "Core Platform",
  ISNUMBER(SEARCH("Analytics", C433)), "Analytics",
  ISNUMBER(SEARCH("Automation", C433)), "Automation"
)</f>
        <v>Analytics</v>
      </c>
    </row>
    <row r="434" spans="1:7" x14ac:dyDescent="0.35">
      <c r="A434" t="s">
        <v>74</v>
      </c>
      <c r="B434" t="s">
        <v>75</v>
      </c>
      <c r="C434" t="s">
        <v>16</v>
      </c>
      <c r="D434" s="1">
        <v>45717</v>
      </c>
      <c r="E434" s="3">
        <v>120000</v>
      </c>
      <c r="F434" t="str">
        <f>+TRIM(B434)</f>
        <v>Sterling Facilities</v>
      </c>
      <c r="G434" t="str" cm="1">
        <f t="array" ref="G434">_xlfn.IFS(
  ISNUMBER(SEARCH("Core", C434)), "Core Platform",
  ISNUMBER(SEARCH("Analytics", C434)), "Analytics",
  ISNUMBER(SEARCH("Automation", C434)), "Automation"
)</f>
        <v>Core Platform</v>
      </c>
    </row>
    <row r="435" spans="1:7" x14ac:dyDescent="0.35">
      <c r="A435" t="s">
        <v>22</v>
      </c>
      <c r="B435" t="s">
        <v>23</v>
      </c>
      <c r="C435" t="s">
        <v>16</v>
      </c>
      <c r="D435" s="1">
        <v>45992</v>
      </c>
      <c r="E435" s="3">
        <v>132000</v>
      </c>
      <c r="F435" t="str">
        <f>+TRIM(B435)</f>
        <v>Ridgeline HVAC</v>
      </c>
      <c r="G435" t="str" cm="1">
        <f t="array" ref="G435">_xlfn.IFS(
  ISNUMBER(SEARCH("Core", C435)), "Core Platform",
  ISNUMBER(SEARCH("Analytics", C435)), "Analytics",
  ISNUMBER(SEARCH("Automation", C435)), "Automation"
)</f>
        <v>Core Platform</v>
      </c>
    </row>
    <row r="436" spans="1:7" x14ac:dyDescent="0.35">
      <c r="A436" t="s">
        <v>33</v>
      </c>
      <c r="B436" t="s">
        <v>34</v>
      </c>
      <c r="C436" t="s">
        <v>28</v>
      </c>
      <c r="D436" s="1">
        <v>45901</v>
      </c>
      <c r="E436" s="3">
        <v>66000</v>
      </c>
      <c r="F436" t="str">
        <f>+TRIM(B436)</f>
        <v>Sandstone Roofing</v>
      </c>
      <c r="G436" t="str" cm="1">
        <f t="array" ref="G436">_xlfn.IFS(
  ISNUMBER(SEARCH("Core", C436)), "Core Platform",
  ISNUMBER(SEARCH("Analytics", C436)), "Analytics",
  ISNUMBER(SEARCH("Automation", C436)), "Automation"
)</f>
        <v>Core Platform</v>
      </c>
    </row>
    <row r="437" spans="1:7" x14ac:dyDescent="0.35">
      <c r="A437" t="s">
        <v>72</v>
      </c>
      <c r="B437" t="s">
        <v>73</v>
      </c>
      <c r="C437" t="s">
        <v>10</v>
      </c>
      <c r="D437" s="1">
        <v>45778</v>
      </c>
      <c r="E437" s="3">
        <v>27000</v>
      </c>
      <c r="F437" t="str">
        <f>+TRIM(B437)</f>
        <v>Northwind Trading</v>
      </c>
      <c r="G437" t="str" cm="1">
        <f t="array" ref="G437">_xlfn.IFS(
  ISNUMBER(SEARCH("Core", C437)), "Core Platform",
  ISNUMBER(SEARCH("Analytics", C437)), "Analytics",
  ISNUMBER(SEARCH("Automation", C437)), "Automation"
)</f>
        <v>Analytics</v>
      </c>
    </row>
    <row r="438" spans="1:7" x14ac:dyDescent="0.35">
      <c r="A438" t="s">
        <v>43</v>
      </c>
      <c r="B438" t="s">
        <v>44</v>
      </c>
      <c r="C438" t="s">
        <v>10</v>
      </c>
      <c r="D438" s="1">
        <v>45689</v>
      </c>
      <c r="E438" s="3">
        <v>18000</v>
      </c>
      <c r="F438" t="str">
        <f>+TRIM(B438)</f>
        <v>Harborview Plumbing</v>
      </c>
      <c r="G438" t="str" cm="1">
        <f t="array" ref="G438">_xlfn.IFS(
  ISNUMBER(SEARCH("Core", C438)), "Core Platform",
  ISNUMBER(SEARCH("Analytics", C438)), "Analytics",
  ISNUMBER(SEARCH("Automation", C438)), "Automation"
)</f>
        <v>Analytics</v>
      </c>
    </row>
    <row r="439" spans="1:7" x14ac:dyDescent="0.35">
      <c r="A439" t="s">
        <v>70</v>
      </c>
      <c r="B439" t="s">
        <v>71</v>
      </c>
      <c r="C439" t="s">
        <v>13</v>
      </c>
      <c r="D439" s="1">
        <v>45717</v>
      </c>
      <c r="E439" s="3">
        <v>9000</v>
      </c>
      <c r="F439" t="str">
        <f>+TRIM(B439)</f>
        <v>Vertex Manufacturing</v>
      </c>
      <c r="G439" t="str" cm="1">
        <f t="array" ref="G439">_xlfn.IFS(
  ISNUMBER(SEARCH("Core", C439)), "Core Platform",
  ISNUMBER(SEARCH("Analytics", C439)), "Analytics",
  ISNUMBER(SEARCH("Automation", C439)), "Automation"
)</f>
        <v>Automation</v>
      </c>
    </row>
    <row r="440" spans="1:7" x14ac:dyDescent="0.35">
      <c r="A440" t="s">
        <v>41</v>
      </c>
      <c r="B440" t="s">
        <v>42</v>
      </c>
      <c r="C440" t="s">
        <v>16</v>
      </c>
      <c r="D440" s="1">
        <v>45992</v>
      </c>
      <c r="E440" s="3">
        <v>102000</v>
      </c>
      <c r="F440" t="str">
        <f>+TRIM(B440)</f>
        <v>Delta Refrigeration</v>
      </c>
      <c r="G440" t="str" cm="1">
        <f t="array" ref="G440">_xlfn.IFS(
  ISNUMBER(SEARCH("Core", C440)), "Core Platform",
  ISNUMBER(SEARCH("Analytics", C440)), "Analytics",
  ISNUMBER(SEARCH("Automation", C440)), "Automation"
)</f>
        <v>Core Platform</v>
      </c>
    </row>
    <row r="441" spans="1:7" x14ac:dyDescent="0.35">
      <c r="A441" t="s">
        <v>5</v>
      </c>
      <c r="B441" t="s">
        <v>6</v>
      </c>
      <c r="C441" t="s">
        <v>16</v>
      </c>
      <c r="D441" s="1">
        <v>45778</v>
      </c>
      <c r="E441" s="3">
        <v>85000</v>
      </c>
      <c r="F441" t="str">
        <f>+TRIM(B441)</f>
        <v>Meridian Water Group</v>
      </c>
      <c r="G441" t="str" cm="1">
        <f t="array" ref="G441">_xlfn.IFS(
  ISNUMBER(SEARCH("Core", C441)), "Core Platform",
  ISNUMBER(SEARCH("Analytics", C441)), "Analytics",
  ISNUMBER(SEARCH("Automation", C441)), "Automation"
)</f>
        <v>Core Platform</v>
      </c>
    </row>
    <row r="442" spans="1:7" x14ac:dyDescent="0.35">
      <c r="A442" t="s">
        <v>5</v>
      </c>
      <c r="B442" t="s">
        <v>6</v>
      </c>
      <c r="C442" t="s">
        <v>13</v>
      </c>
      <c r="D442" s="1">
        <v>45748</v>
      </c>
      <c r="E442" s="3">
        <v>19000</v>
      </c>
      <c r="F442" t="str">
        <f>+TRIM(B442)</f>
        <v>Meridian Water Group</v>
      </c>
      <c r="G442" t="str" cm="1">
        <f t="array" ref="G442">_xlfn.IFS(
  ISNUMBER(SEARCH("Core", C442)), "Core Platform",
  ISNUMBER(SEARCH("Analytics", C442)), "Analytics",
  ISNUMBER(SEARCH("Automation", C442)), "Automation"
)</f>
        <v>Automation</v>
      </c>
    </row>
    <row r="443" spans="1:7" x14ac:dyDescent="0.35">
      <c r="A443" t="s">
        <v>37</v>
      </c>
      <c r="B443" t="s">
        <v>38</v>
      </c>
      <c r="C443" t="s">
        <v>28</v>
      </c>
      <c r="D443" s="1">
        <v>45778</v>
      </c>
      <c r="E443" s="3">
        <v>88000</v>
      </c>
      <c r="F443" t="str">
        <f>+TRIM(B443)</f>
        <v>Fairwind Marine</v>
      </c>
      <c r="G443" t="str" cm="1">
        <f t="array" ref="G443">_xlfn.IFS(
  ISNUMBER(SEARCH("Core", C443)), "Core Platform",
  ISNUMBER(SEARCH("Analytics", C443)), "Analytics",
  ISNUMBER(SEARCH("Automation", C443)), "Automation"
)</f>
        <v>Core Platform</v>
      </c>
    </row>
    <row r="444" spans="1:7" x14ac:dyDescent="0.35">
      <c r="A444" t="s">
        <v>91</v>
      </c>
      <c r="B444" t="s">
        <v>92</v>
      </c>
      <c r="C444" t="s">
        <v>65</v>
      </c>
      <c r="D444" s="1">
        <v>45992</v>
      </c>
      <c r="E444" s="3">
        <v>25000</v>
      </c>
      <c r="F444" t="str">
        <f>+TRIM(B444)</f>
        <v>Trailhead Equipment</v>
      </c>
      <c r="G444" t="str" cm="1">
        <f t="array" ref="G444">_xlfn.IFS(
  ISNUMBER(SEARCH("Core", C444)), "Core Platform",
  ISNUMBER(SEARCH("Analytics", C444)), "Analytics",
  ISNUMBER(SEARCH("Automation", C444)), "Automation"
)</f>
        <v>Analytics</v>
      </c>
    </row>
    <row r="445" spans="1:7" x14ac:dyDescent="0.35">
      <c r="A445" t="s">
        <v>70</v>
      </c>
      <c r="B445" t="s">
        <v>71</v>
      </c>
      <c r="C445" t="s">
        <v>21</v>
      </c>
      <c r="D445" s="1">
        <v>45870</v>
      </c>
      <c r="E445" s="3">
        <v>9000</v>
      </c>
      <c r="F445" t="str">
        <f>+TRIM(B445)</f>
        <v>Vertex Manufacturing</v>
      </c>
      <c r="G445" t="str" cm="1">
        <f t="array" ref="G445">_xlfn.IFS(
  ISNUMBER(SEARCH("Core", C445)), "Core Platform",
  ISNUMBER(SEARCH("Analytics", C445)), "Analytics",
  ISNUMBER(SEARCH("Automation", C445)), "Automation"
)</f>
        <v>Automation</v>
      </c>
    </row>
    <row r="446" spans="1:7" x14ac:dyDescent="0.35">
      <c r="A446" t="s">
        <v>53</v>
      </c>
      <c r="B446" t="s">
        <v>54</v>
      </c>
      <c r="C446" t="s">
        <v>10</v>
      </c>
      <c r="D446" s="1">
        <v>45992</v>
      </c>
      <c r="E446" s="3">
        <v>40000</v>
      </c>
      <c r="F446" t="str">
        <f>+TRIM(B446)</f>
        <v>Maple Grove Maintenance</v>
      </c>
      <c r="G446" t="str" cm="1">
        <f t="array" ref="G446">_xlfn.IFS(
  ISNUMBER(SEARCH("Core", C446)), "Core Platform",
  ISNUMBER(SEARCH("Analytics", C446)), "Analytics",
  ISNUMBER(SEARCH("Automation", C446)), "Automation"
)</f>
        <v>Analytics</v>
      </c>
    </row>
    <row r="447" spans="1:7" x14ac:dyDescent="0.35">
      <c r="A447" t="s">
        <v>43</v>
      </c>
      <c r="B447" t="s">
        <v>44</v>
      </c>
      <c r="C447" t="s">
        <v>7</v>
      </c>
      <c r="D447" s="1">
        <v>45901</v>
      </c>
      <c r="E447" s="3">
        <v>22000</v>
      </c>
      <c r="F447" t="str">
        <f>+TRIM(B447)</f>
        <v>Harborview Plumbing</v>
      </c>
      <c r="G447" t="str" cm="1">
        <f t="array" ref="G447">_xlfn.IFS(
  ISNUMBER(SEARCH("Core", C447)), "Core Platform",
  ISNUMBER(SEARCH("Analytics", C447)), "Analytics",
  ISNUMBER(SEARCH("Automation", C447)), "Automation"
)</f>
        <v>Analytics</v>
      </c>
    </row>
    <row r="448" spans="1:7" x14ac:dyDescent="0.35">
      <c r="A448" t="s">
        <v>48</v>
      </c>
      <c r="B448" t="s">
        <v>49</v>
      </c>
      <c r="C448" t="s">
        <v>21</v>
      </c>
      <c r="D448" s="1">
        <v>45689</v>
      </c>
      <c r="E448" s="3">
        <v>11000</v>
      </c>
      <c r="F448" t="str">
        <f>+TRIM(B448)</f>
        <v>Lakeside Energy</v>
      </c>
      <c r="G448" t="str" cm="1">
        <f t="array" ref="G448">_xlfn.IFS(
  ISNUMBER(SEARCH("Core", C448)), "Core Platform",
  ISNUMBER(SEARCH("Analytics", C448)), "Analytics",
  ISNUMBER(SEARCH("Automation", C448)), "Automation"
)</f>
        <v>Automation</v>
      </c>
    </row>
    <row r="449" spans="1:7" x14ac:dyDescent="0.35">
      <c r="A449" t="s">
        <v>51</v>
      </c>
      <c r="B449" t="s">
        <v>52</v>
      </c>
      <c r="C449" t="s">
        <v>28</v>
      </c>
      <c r="D449" s="1">
        <v>45689</v>
      </c>
      <c r="E449" s="3">
        <v>38000</v>
      </c>
      <c r="F449" t="str">
        <f>+TRIM(B449)</f>
        <v>Cedar Peak Utilities</v>
      </c>
      <c r="G449" t="str" cm="1">
        <f t="array" ref="G449">_xlfn.IFS(
  ISNUMBER(SEARCH("Core", C449)), "Core Platform",
  ISNUMBER(SEARCH("Analytics", C449)), "Analytics",
  ISNUMBER(SEARCH("Automation", C449)), "Automation"
)</f>
        <v>Core Platform</v>
      </c>
    </row>
    <row r="450" spans="1:7" x14ac:dyDescent="0.35">
      <c r="A450" t="s">
        <v>41</v>
      </c>
      <c r="B450" t="s">
        <v>42</v>
      </c>
      <c r="C450" t="s">
        <v>13</v>
      </c>
      <c r="D450" s="1">
        <v>45962</v>
      </c>
      <c r="E450" s="3">
        <v>22000</v>
      </c>
      <c r="F450" t="str">
        <f>+TRIM(B450)</f>
        <v>Delta Refrigeration</v>
      </c>
      <c r="G450" t="str" cm="1">
        <f t="array" ref="G450">_xlfn.IFS(
  ISNUMBER(SEARCH("Core", C450)), "Core Platform",
  ISNUMBER(SEARCH("Analytics", C450)), "Analytics",
  ISNUMBER(SEARCH("Automation", C450)), "Automation"
)</f>
        <v>Automation</v>
      </c>
    </row>
    <row r="451" spans="1:7" x14ac:dyDescent="0.35">
      <c r="A451" t="s">
        <v>72</v>
      </c>
      <c r="B451" t="s">
        <v>73</v>
      </c>
      <c r="C451" t="s">
        <v>28</v>
      </c>
      <c r="D451" s="1">
        <v>45931</v>
      </c>
      <c r="E451" s="3">
        <v>117000</v>
      </c>
      <c r="F451" t="str">
        <f>+TRIM(B451)</f>
        <v>Northwind Trading</v>
      </c>
      <c r="G451" t="str" cm="1">
        <f t="array" ref="G451">_xlfn.IFS(
  ISNUMBER(SEARCH("Core", C451)), "Core Platform",
  ISNUMBER(SEARCH("Analytics", C451)), "Analytics",
  ISNUMBER(SEARCH("Automation", C451)), "Automation"
)</f>
        <v>Core Platform</v>
      </c>
    </row>
    <row r="452" spans="1:7" x14ac:dyDescent="0.35">
      <c r="A452" t="s">
        <v>53</v>
      </c>
      <c r="B452" t="s">
        <v>54</v>
      </c>
      <c r="C452" t="s">
        <v>10</v>
      </c>
      <c r="D452" s="1">
        <v>45748</v>
      </c>
      <c r="E452" s="3">
        <v>35000</v>
      </c>
      <c r="F452" t="str">
        <f>+TRIM(B452)</f>
        <v>Maple Grove Maintenance</v>
      </c>
      <c r="G452" t="str" cm="1">
        <f t="array" ref="G452">_xlfn.IFS(
  ISNUMBER(SEARCH("Core", C452)), "Core Platform",
  ISNUMBER(SEARCH("Analytics", C452)), "Analytics",
  ISNUMBER(SEARCH("Automation", C452)), "Automation"
)</f>
        <v>Analytics</v>
      </c>
    </row>
    <row r="453" spans="1:7" x14ac:dyDescent="0.35">
      <c r="A453" t="s">
        <v>41</v>
      </c>
      <c r="B453" t="s">
        <v>42</v>
      </c>
      <c r="C453" t="s">
        <v>7</v>
      </c>
      <c r="D453" s="1">
        <v>45839</v>
      </c>
      <c r="E453" s="3">
        <v>17000</v>
      </c>
      <c r="F453" t="str">
        <f>+TRIM(B453)</f>
        <v>Delta Refrigeration</v>
      </c>
      <c r="G453" t="str" cm="1">
        <f t="array" ref="G453">_xlfn.IFS(
  ISNUMBER(SEARCH("Core", C453)), "Core Platform",
  ISNUMBER(SEARCH("Analytics", C453)), "Analytics",
  ISNUMBER(SEARCH("Automation", C453)), "Automation"
)</f>
        <v>Analytics</v>
      </c>
    </row>
    <row r="454" spans="1:7" x14ac:dyDescent="0.35">
      <c r="A454" t="s">
        <v>91</v>
      </c>
      <c r="B454" t="s">
        <v>92</v>
      </c>
      <c r="C454" t="s">
        <v>16</v>
      </c>
      <c r="D454" s="1">
        <v>45778</v>
      </c>
      <c r="E454" s="3">
        <v>90000</v>
      </c>
      <c r="F454" t="str">
        <f>+TRIM(B454)</f>
        <v>Trailhead Equipment</v>
      </c>
      <c r="G454" t="str" cm="1">
        <f t="array" ref="G454">_xlfn.IFS(
  ISNUMBER(SEARCH("Core", C454)), "Core Platform",
  ISNUMBER(SEARCH("Analytics", C454)), "Analytics",
  ISNUMBER(SEARCH("Automation", C454)), "Automation"
)</f>
        <v>Core Platform</v>
      </c>
    </row>
    <row r="455" spans="1:7" x14ac:dyDescent="0.35">
      <c r="A455" t="s">
        <v>43</v>
      </c>
      <c r="B455" t="s">
        <v>44</v>
      </c>
      <c r="C455" t="s">
        <v>16</v>
      </c>
      <c r="D455" s="1">
        <v>45962</v>
      </c>
      <c r="E455" s="3">
        <v>70000</v>
      </c>
      <c r="F455" t="str">
        <f>+TRIM(B455)</f>
        <v>Harborview Plumbing</v>
      </c>
      <c r="G455" t="str" cm="1">
        <f t="array" ref="G455">_xlfn.IFS(
  ISNUMBER(SEARCH("Core", C455)), "Core Platform",
  ISNUMBER(SEARCH("Analytics", C455)), "Analytics",
  ISNUMBER(SEARCH("Automation", C455)), "Automation"
)</f>
        <v>Core Platform</v>
      </c>
    </row>
    <row r="456" spans="1:7" x14ac:dyDescent="0.35">
      <c r="A456" t="s">
        <v>74</v>
      </c>
      <c r="B456" t="s">
        <v>75</v>
      </c>
      <c r="C456" t="s">
        <v>28</v>
      </c>
      <c r="D456" s="1">
        <v>45839</v>
      </c>
      <c r="E456" s="3">
        <v>155000</v>
      </c>
      <c r="F456" t="str">
        <f>+TRIM(B456)</f>
        <v>Sterling Facilities</v>
      </c>
      <c r="G456" t="str" cm="1">
        <f t="array" ref="G456">_xlfn.IFS(
  ISNUMBER(SEARCH("Core", C456)), "Core Platform",
  ISNUMBER(SEARCH("Analytics", C456)), "Analytics",
  ISNUMBER(SEARCH("Automation", C456)), "Automation"
)</f>
        <v>Core Platform</v>
      </c>
    </row>
    <row r="457" spans="1:7" x14ac:dyDescent="0.35">
      <c r="A457" t="s">
        <v>8</v>
      </c>
      <c r="B457" t="s">
        <v>9</v>
      </c>
      <c r="C457" t="s">
        <v>21</v>
      </c>
      <c r="D457" s="1">
        <v>45839</v>
      </c>
      <c r="E457" s="3">
        <v>17000</v>
      </c>
      <c r="F457" t="str">
        <f>+TRIM(B457)</f>
        <v>Cobalt Networks</v>
      </c>
      <c r="G457" t="str" cm="1">
        <f t="array" ref="G457">_xlfn.IFS(
  ISNUMBER(SEARCH("Core", C457)), "Core Platform",
  ISNUMBER(SEARCH("Analytics", C457)), "Analytics",
  ISNUMBER(SEARCH("Automation", C457)), "Automation"
)</f>
        <v>Automation</v>
      </c>
    </row>
    <row r="458" spans="1:7" x14ac:dyDescent="0.35">
      <c r="A458" t="s">
        <v>5</v>
      </c>
      <c r="B458" t="s">
        <v>6</v>
      </c>
      <c r="C458" t="s">
        <v>21</v>
      </c>
      <c r="D458" s="1">
        <v>45778</v>
      </c>
      <c r="E458" s="3">
        <v>19000</v>
      </c>
      <c r="F458" t="str">
        <f>+TRIM(B458)</f>
        <v>Meridian Water Group</v>
      </c>
      <c r="G458" t="str" cm="1">
        <f t="array" ref="G458">_xlfn.IFS(
  ISNUMBER(SEARCH("Core", C458)), "Core Platform",
  ISNUMBER(SEARCH("Analytics", C458)), "Analytics",
  ISNUMBER(SEARCH("Automation", C458)), "Automation"
)</f>
        <v>Automation</v>
      </c>
    </row>
    <row r="459" spans="1:7" x14ac:dyDescent="0.35">
      <c r="A459" t="s">
        <v>66</v>
      </c>
      <c r="B459" t="s">
        <v>67</v>
      </c>
      <c r="C459" t="s">
        <v>21</v>
      </c>
      <c r="D459" s="1">
        <v>45962</v>
      </c>
      <c r="E459" s="3">
        <v>25000</v>
      </c>
      <c r="F459" t="str">
        <f>+TRIM(B459)</f>
        <v>Beacon Environmental</v>
      </c>
      <c r="G459" t="str" cm="1">
        <f t="array" ref="G459">_xlfn.IFS(
  ISNUMBER(SEARCH("Core", C459)), "Core Platform",
  ISNUMBER(SEARCH("Analytics", C459)), "Analytics",
  ISNUMBER(SEARCH("Automation", C459)), "Automation"
)</f>
        <v>Automation</v>
      </c>
    </row>
    <row r="460" spans="1:7" x14ac:dyDescent="0.35">
      <c r="A460" t="s">
        <v>29</v>
      </c>
      <c r="B460" t="s">
        <v>30</v>
      </c>
      <c r="C460" t="s">
        <v>28</v>
      </c>
      <c r="D460" s="1">
        <v>45809</v>
      </c>
      <c r="E460" s="3">
        <v>60000</v>
      </c>
      <c r="F460" t="str">
        <f>+TRIM(B460)</f>
        <v>Atlas Elevator Co</v>
      </c>
      <c r="G460" t="str" cm="1">
        <f t="array" ref="G460">_xlfn.IFS(
  ISNUMBER(SEARCH("Core", C460)), "Core Platform",
  ISNUMBER(SEARCH("Analytics", C460)), "Analytics",
  ISNUMBER(SEARCH("Automation", C460)), "Automation"
)</f>
        <v>Core Platform</v>
      </c>
    </row>
    <row r="461" spans="1:7" x14ac:dyDescent="0.35">
      <c r="A461" t="s">
        <v>43</v>
      </c>
      <c r="B461" t="s">
        <v>44</v>
      </c>
      <c r="C461" t="s">
        <v>28</v>
      </c>
      <c r="D461" s="1">
        <v>45931</v>
      </c>
      <c r="E461" s="3">
        <v>70000</v>
      </c>
      <c r="F461" t="str">
        <f>+TRIM(B461)</f>
        <v>Harborview Plumbing</v>
      </c>
      <c r="G461" t="str" cm="1">
        <f t="array" ref="G461">_xlfn.IFS(
  ISNUMBER(SEARCH("Core", C461)), "Core Platform",
  ISNUMBER(SEARCH("Analytics", C461)), "Analytics",
  ISNUMBER(SEARCH("Automation", C461)), "Automation"
)</f>
        <v>Core Platform</v>
      </c>
    </row>
    <row r="462" spans="1:7" x14ac:dyDescent="0.35">
      <c r="A462" t="s">
        <v>22</v>
      </c>
      <c r="B462" t="s">
        <v>23</v>
      </c>
      <c r="C462" t="s">
        <v>28</v>
      </c>
      <c r="D462" s="1">
        <v>45809</v>
      </c>
      <c r="E462" s="3">
        <v>111000</v>
      </c>
      <c r="F462" t="str">
        <f>+TRIM(B462)</f>
        <v>Ridgeline HVAC</v>
      </c>
      <c r="G462" t="str" cm="1">
        <f t="array" ref="G462">_xlfn.IFS(
  ISNUMBER(SEARCH("Core", C462)), "Core Platform",
  ISNUMBER(SEARCH("Analytics", C462)), "Analytics",
  ISNUMBER(SEARCH("Automation", C462)), "Automation"
)</f>
        <v>Core Platform</v>
      </c>
    </row>
    <row r="463" spans="1:7" x14ac:dyDescent="0.35">
      <c r="A463" t="s">
        <v>51</v>
      </c>
      <c r="B463" t="s">
        <v>52</v>
      </c>
      <c r="C463" t="s">
        <v>10</v>
      </c>
      <c r="D463" s="1">
        <v>45717</v>
      </c>
      <c r="E463" s="3">
        <v>22000</v>
      </c>
      <c r="F463" t="str">
        <f>+TRIM(B463)</f>
        <v>Cedar Peak Utilities</v>
      </c>
      <c r="G463" t="str" cm="1">
        <f t="array" ref="G463">_xlfn.IFS(
  ISNUMBER(SEARCH("Core", C463)), "Core Platform",
  ISNUMBER(SEARCH("Analytics", C463)), "Analytics",
  ISNUMBER(SEARCH("Automation", C463)), "Automation"
)</f>
        <v>Analytics</v>
      </c>
    </row>
    <row r="464" spans="1:7" x14ac:dyDescent="0.35">
      <c r="A464" t="s">
        <v>91</v>
      </c>
      <c r="B464" t="s">
        <v>92</v>
      </c>
      <c r="C464" t="s">
        <v>10</v>
      </c>
      <c r="D464" s="1">
        <v>45931</v>
      </c>
      <c r="E464" s="3">
        <v>25000</v>
      </c>
      <c r="F464" t="str">
        <f>+TRIM(B464)</f>
        <v>Trailhead Equipment</v>
      </c>
      <c r="G464" t="str" cm="1">
        <f t="array" ref="G464">_xlfn.IFS(
  ISNUMBER(SEARCH("Core", C464)), "Core Platform",
  ISNUMBER(SEARCH("Analytics", C464)), "Analytics",
  ISNUMBER(SEARCH("Automation", C464)), "Automation"
)</f>
        <v>Analytics</v>
      </c>
    </row>
    <row r="465" spans="1:7" x14ac:dyDescent="0.35">
      <c r="A465" t="s">
        <v>14</v>
      </c>
      <c r="B465" t="s">
        <v>15</v>
      </c>
      <c r="C465" t="s">
        <v>28</v>
      </c>
      <c r="D465" s="1">
        <v>45778</v>
      </c>
      <c r="E465" s="3">
        <v>79000</v>
      </c>
      <c r="F465" t="str">
        <f>+TRIM(B465)</f>
        <v>Willowbrook Care</v>
      </c>
      <c r="G465" t="str" cm="1">
        <f t="array" ref="G465">_xlfn.IFS(
  ISNUMBER(SEARCH("Core", C465)), "Core Platform",
  ISNUMBER(SEARCH("Analytics", C465)), "Analytics",
  ISNUMBER(SEARCH("Automation", C465)), "Automation"
)</f>
        <v>Core Platform</v>
      </c>
    </row>
    <row r="466" spans="1:7" x14ac:dyDescent="0.35">
      <c r="A466" t="s">
        <v>111</v>
      </c>
      <c r="B466" t="s">
        <v>112</v>
      </c>
      <c r="C466" t="s">
        <v>16</v>
      </c>
      <c r="D466" s="1">
        <v>45962</v>
      </c>
      <c r="E466" s="3">
        <v>72000</v>
      </c>
      <c r="F466" t="str">
        <f>+TRIM(B466)</f>
        <v>Onyx Waste Solutions</v>
      </c>
      <c r="G466" t="str" cm="1">
        <f t="array" ref="G466">_xlfn.IFS(
  ISNUMBER(SEARCH("Core", C466)), "Core Platform",
  ISNUMBER(SEARCH("Analytics", C466)), "Analytics",
  ISNUMBER(SEARCH("Automation", C466)), "Automation"
)</f>
        <v>Core Platform</v>
      </c>
    </row>
    <row r="467" spans="1:7" x14ac:dyDescent="0.35">
      <c r="A467" t="s">
        <v>29</v>
      </c>
      <c r="B467" t="s">
        <v>46</v>
      </c>
      <c r="C467" t="s">
        <v>7</v>
      </c>
      <c r="D467" s="1">
        <v>45748</v>
      </c>
      <c r="E467" s="3">
        <v>36000</v>
      </c>
      <c r="F467" t="str">
        <f>+TRIM(B467)</f>
        <v>Atlas Elevator Co</v>
      </c>
      <c r="G467" t="str" cm="1">
        <f t="array" ref="G467">_xlfn.IFS(
  ISNUMBER(SEARCH("Core", C467)), "Core Platform",
  ISNUMBER(SEARCH("Analytics", C467)), "Analytics",
  ISNUMBER(SEARCH("Automation", C467)), "Automation"
)</f>
        <v>Analytics</v>
      </c>
    </row>
    <row r="468" spans="1:7" x14ac:dyDescent="0.35">
      <c r="A468" t="s">
        <v>24</v>
      </c>
      <c r="B468" t="s">
        <v>45</v>
      </c>
      <c r="C468" t="s">
        <v>21</v>
      </c>
      <c r="D468" s="1">
        <v>45778</v>
      </c>
      <c r="E468" s="3">
        <v>22000</v>
      </c>
      <c r="F468" t="str">
        <f>+TRIM(B468)</f>
        <v>Kestrel Telecom</v>
      </c>
      <c r="G468" t="str" cm="1">
        <f t="array" ref="G468">_xlfn.IFS(
  ISNUMBER(SEARCH("Core", C468)), "Core Platform",
  ISNUMBER(SEARCH("Analytics", C468)), "Analytics",
  ISNUMBER(SEARCH("Automation", C468)), "Automation"
)</f>
        <v>Automation</v>
      </c>
    </row>
    <row r="469" spans="1:7" x14ac:dyDescent="0.35">
      <c r="A469" t="s">
        <v>70</v>
      </c>
      <c r="B469" t="s">
        <v>71</v>
      </c>
      <c r="C469" t="s">
        <v>16</v>
      </c>
      <c r="D469" s="1">
        <v>45748</v>
      </c>
      <c r="E469" s="3">
        <v>85000</v>
      </c>
      <c r="F469" t="str">
        <f>+TRIM(B469)</f>
        <v>Vertex Manufacturing</v>
      </c>
      <c r="G469" t="str" cm="1">
        <f t="array" ref="G469">_xlfn.IFS(
  ISNUMBER(SEARCH("Core", C469)), "Core Platform",
  ISNUMBER(SEARCH("Analytics", C469)), "Analytics",
  ISNUMBER(SEARCH("Automation", C469)), "Automation"
)</f>
        <v>Core Platform</v>
      </c>
    </row>
    <row r="470" spans="1:7" x14ac:dyDescent="0.35">
      <c r="A470" t="s">
        <v>43</v>
      </c>
      <c r="B470" t="s">
        <v>44</v>
      </c>
      <c r="C470" t="s">
        <v>10</v>
      </c>
      <c r="D470" s="1">
        <v>45778</v>
      </c>
      <c r="E470" s="3">
        <v>22000</v>
      </c>
      <c r="F470" t="str">
        <f>+TRIM(B470)</f>
        <v>Harborview Plumbing</v>
      </c>
      <c r="G470" t="str" cm="1">
        <f t="array" ref="G470">_xlfn.IFS(
  ISNUMBER(SEARCH("Core", C470)), "Core Platform",
  ISNUMBER(SEARCH("Analytics", C470)), "Analytics",
  ISNUMBER(SEARCH("Automation", C470)), "Automation"
)</f>
        <v>Analytics</v>
      </c>
    </row>
    <row r="471" spans="1:7" x14ac:dyDescent="0.35">
      <c r="A471" t="s">
        <v>72</v>
      </c>
      <c r="B471" t="s">
        <v>73</v>
      </c>
      <c r="C471" t="s">
        <v>10</v>
      </c>
      <c r="D471" s="1">
        <v>45658</v>
      </c>
      <c r="E471" s="3">
        <v>27000</v>
      </c>
      <c r="F471" t="str">
        <f>+TRIM(B471)</f>
        <v>Northwind Trading</v>
      </c>
      <c r="G471" t="str" cm="1">
        <f t="array" ref="G471">_xlfn.IFS(
  ISNUMBER(SEARCH("Core", C471)), "Core Platform",
  ISNUMBER(SEARCH("Analytics", C471)), "Analytics",
  ISNUMBER(SEARCH("Automation", C471)), "Automation"
)</f>
        <v>Analytics</v>
      </c>
    </row>
    <row r="472" spans="1:7" x14ac:dyDescent="0.35">
      <c r="A472" t="s">
        <v>31</v>
      </c>
      <c r="B472" t="s">
        <v>32</v>
      </c>
      <c r="C472" t="s">
        <v>28</v>
      </c>
      <c r="D472" s="1">
        <v>45717</v>
      </c>
      <c r="E472" s="3">
        <v>77000</v>
      </c>
      <c r="F472" t="str">
        <f>+TRIM(B472)</f>
        <v>Summit Fire Protection</v>
      </c>
      <c r="G472" t="str" cm="1">
        <f t="array" ref="G472">_xlfn.IFS(
  ISNUMBER(SEARCH("Core", C472)), "Core Platform",
  ISNUMBER(SEARCH("Analytics", C472)), "Analytics",
  ISNUMBER(SEARCH("Automation", C472)), "Automation"
)</f>
        <v>Core Platform</v>
      </c>
    </row>
    <row r="473" spans="1:7" x14ac:dyDescent="0.35">
      <c r="A473" t="s">
        <v>87</v>
      </c>
      <c r="B473" t="s">
        <v>88</v>
      </c>
      <c r="C473" t="s">
        <v>16</v>
      </c>
      <c r="D473" s="1">
        <v>45809</v>
      </c>
      <c r="E473" s="3">
        <v>73000</v>
      </c>
      <c r="F473" t="str">
        <f>+TRIM(B473)</f>
        <v>Brightway Solar</v>
      </c>
      <c r="G473" t="str" cm="1">
        <f t="array" ref="G473">_xlfn.IFS(
  ISNUMBER(SEARCH("Core", C473)), "Core Platform",
  ISNUMBER(SEARCH("Analytics", C473)), "Analytics",
  ISNUMBER(SEARCH("Automation", C473)), "Automation"
)</f>
        <v>Core Platform</v>
      </c>
    </row>
    <row r="474" spans="1:7" x14ac:dyDescent="0.35">
      <c r="A474" t="s">
        <v>8</v>
      </c>
      <c r="B474" t="s">
        <v>9</v>
      </c>
      <c r="C474" t="s">
        <v>13</v>
      </c>
      <c r="D474" s="1">
        <v>45778</v>
      </c>
      <c r="E474" s="3">
        <v>17000</v>
      </c>
      <c r="F474" t="str">
        <f>+TRIM(B474)</f>
        <v>Cobalt Networks</v>
      </c>
      <c r="G474" t="str" cm="1">
        <f t="array" ref="G474">_xlfn.IFS(
  ISNUMBER(SEARCH("Core", C474)), "Core Platform",
  ISNUMBER(SEARCH("Analytics", C474)), "Analytics",
  ISNUMBER(SEARCH("Automation", C474)), "Automation"
)</f>
        <v>Automation</v>
      </c>
    </row>
    <row r="475" spans="1:7" x14ac:dyDescent="0.35">
      <c r="A475" t="s">
        <v>62</v>
      </c>
      <c r="B475" t="s">
        <v>63</v>
      </c>
      <c r="C475" t="s">
        <v>28</v>
      </c>
      <c r="D475" s="1">
        <v>45992</v>
      </c>
      <c r="E475" s="3">
        <v>36000</v>
      </c>
      <c r="F475" t="str">
        <f>+TRIM(B475)</f>
        <v>Copperfield Electrical</v>
      </c>
      <c r="G475" t="str" cm="1">
        <f t="array" ref="G475">_xlfn.IFS(
  ISNUMBER(SEARCH("Core", C475)), "Core Platform",
  ISNUMBER(SEARCH("Analytics", C475)), "Analytics",
  ISNUMBER(SEARCH("Automation", C475)), "Automation"
)</f>
        <v>Core Platform</v>
      </c>
    </row>
    <row r="476" spans="1:7" x14ac:dyDescent="0.35">
      <c r="A476" t="s">
        <v>11</v>
      </c>
      <c r="B476" t="s">
        <v>59</v>
      </c>
      <c r="C476" t="s">
        <v>10</v>
      </c>
      <c r="D476" s="1">
        <v>45931</v>
      </c>
      <c r="E476" s="3">
        <v>39000</v>
      </c>
      <c r="F476" t="str">
        <f>+TRIM(B476)</f>
        <v>Pinecrest Property</v>
      </c>
      <c r="G476" t="str" cm="1">
        <f t="array" ref="G476">_xlfn.IFS(
  ISNUMBER(SEARCH("Core", C476)), "Core Platform",
  ISNUMBER(SEARCH("Analytics", C476)), "Analytics",
  ISNUMBER(SEARCH("Automation", C476)), "Automation"
)</f>
        <v>Analytics</v>
      </c>
    </row>
    <row r="477" spans="1:7" x14ac:dyDescent="0.35">
      <c r="A477" t="s">
        <v>33</v>
      </c>
      <c r="B477" t="s">
        <v>34</v>
      </c>
      <c r="C477" t="s">
        <v>16</v>
      </c>
      <c r="D477" s="1">
        <v>45748</v>
      </c>
      <c r="E477" s="3">
        <v>66000</v>
      </c>
      <c r="F477" t="str">
        <f>+TRIM(B477)</f>
        <v>Sandstone Roofing</v>
      </c>
      <c r="G477" t="str" cm="1">
        <f t="array" ref="G477">_xlfn.IFS(
  ISNUMBER(SEARCH("Core", C477)), "Core Platform",
  ISNUMBER(SEARCH("Analytics", C477)), "Analytics",
  ISNUMBER(SEARCH("Automation", C477)), "Automation"
)</f>
        <v>Core Platform</v>
      </c>
    </row>
    <row r="478" spans="1:7" x14ac:dyDescent="0.35">
      <c r="A478" t="s">
        <v>37</v>
      </c>
      <c r="B478" t="s">
        <v>38</v>
      </c>
      <c r="C478" t="s">
        <v>7</v>
      </c>
      <c r="D478" s="1">
        <v>45839</v>
      </c>
      <c r="E478" s="3">
        <v>19000</v>
      </c>
      <c r="F478" t="str">
        <f>+TRIM(B478)</f>
        <v>Fairwind Marine</v>
      </c>
      <c r="G478" t="str" cm="1">
        <f t="array" ref="G478">_xlfn.IFS(
  ISNUMBER(SEARCH("Core", C478)), "Core Platform",
  ISNUMBER(SEARCH("Analytics", C478)), "Analytics",
  ISNUMBER(SEARCH("Automation", C478)), "Automation"
)</f>
        <v>Analytics</v>
      </c>
    </row>
    <row r="479" spans="1:7" x14ac:dyDescent="0.35">
      <c r="A479" t="s">
        <v>5</v>
      </c>
      <c r="B479" t="s">
        <v>6</v>
      </c>
      <c r="C479" t="s">
        <v>16</v>
      </c>
      <c r="D479" s="1">
        <v>45901</v>
      </c>
      <c r="E479" s="3">
        <v>97000</v>
      </c>
      <c r="F479" t="str">
        <f>+TRIM(B479)</f>
        <v>Meridian Water Group</v>
      </c>
      <c r="G479" t="str" cm="1">
        <f t="array" ref="G479">_xlfn.IFS(
  ISNUMBER(SEARCH("Core", C479)), "Core Platform",
  ISNUMBER(SEARCH("Analytics", C479)), "Analytics",
  ISNUMBER(SEARCH("Automation", C479)), "Automation"
)</f>
        <v>Core Platform</v>
      </c>
    </row>
    <row r="480" spans="1:7" x14ac:dyDescent="0.35">
      <c r="A480" t="s">
        <v>29</v>
      </c>
      <c r="B480" t="s">
        <v>30</v>
      </c>
      <c r="C480" t="s">
        <v>28</v>
      </c>
      <c r="D480" s="1">
        <v>45748</v>
      </c>
      <c r="E480" s="3">
        <v>60000</v>
      </c>
      <c r="F480" t="str">
        <f>+TRIM(B480)</f>
        <v>Atlas Elevator Co</v>
      </c>
      <c r="G480" t="str" cm="1">
        <f t="array" ref="G480">_xlfn.IFS(
  ISNUMBER(SEARCH("Core", C480)), "Core Platform",
  ISNUMBER(SEARCH("Analytics", C480)), "Analytics",
  ISNUMBER(SEARCH("Automation", C480)), "Automation"
)</f>
        <v>Core Platform</v>
      </c>
    </row>
    <row r="481" spans="1:7" x14ac:dyDescent="0.35">
      <c r="A481" t="s">
        <v>5</v>
      </c>
      <c r="B481" t="s">
        <v>113</v>
      </c>
      <c r="C481" t="s">
        <v>65</v>
      </c>
      <c r="D481" s="1">
        <v>45870</v>
      </c>
      <c r="E481" s="3">
        <v>24000</v>
      </c>
      <c r="F481" t="str">
        <f>+TRIM(B481)</f>
        <v>Meridian Water Group</v>
      </c>
      <c r="G481" t="str" cm="1">
        <f t="array" ref="G481">_xlfn.IFS(
  ISNUMBER(SEARCH("Core", C481)), "Core Platform",
  ISNUMBER(SEARCH("Analytics", C481)), "Analytics",
  ISNUMBER(SEARCH("Automation", C481)), "Automation"
)</f>
        <v>Analytics</v>
      </c>
    </row>
    <row r="482" spans="1:7" x14ac:dyDescent="0.35">
      <c r="A482" t="s">
        <v>48</v>
      </c>
      <c r="B482" t="s">
        <v>49</v>
      </c>
      <c r="C482" t="s">
        <v>10</v>
      </c>
      <c r="D482" s="1">
        <v>45839</v>
      </c>
      <c r="E482" s="3">
        <v>26000</v>
      </c>
      <c r="F482" t="str">
        <f>+TRIM(B482)</f>
        <v>Lakeside Energy</v>
      </c>
      <c r="G482" t="str" cm="1">
        <f t="array" ref="G482">_xlfn.IFS(
  ISNUMBER(SEARCH("Core", C482)), "Core Platform",
  ISNUMBER(SEARCH("Analytics", C482)), "Analytics",
  ISNUMBER(SEARCH("Automation", C482)), "Automation"
)</f>
        <v>Analytics</v>
      </c>
    </row>
    <row r="483" spans="1:7" x14ac:dyDescent="0.35">
      <c r="A483" t="s">
        <v>24</v>
      </c>
      <c r="B483" t="s">
        <v>45</v>
      </c>
      <c r="C483" t="s">
        <v>50</v>
      </c>
      <c r="D483" s="1">
        <v>45931</v>
      </c>
      <c r="E483" s="3">
        <v>22000</v>
      </c>
      <c r="F483" t="str">
        <f>+TRIM(B483)</f>
        <v>Kestrel Telecom</v>
      </c>
      <c r="G483" t="str" cm="1">
        <f t="array" ref="G483">_xlfn.IFS(
  ISNUMBER(SEARCH("Core", C483)), "Core Platform",
  ISNUMBER(SEARCH("Analytics", C483)), "Analytics",
  ISNUMBER(SEARCH("Automation", C483)), "Automation"
)</f>
        <v>Automation</v>
      </c>
    </row>
    <row r="484" spans="1:7" x14ac:dyDescent="0.35">
      <c r="A484" t="s">
        <v>5</v>
      </c>
      <c r="B484" t="s">
        <v>6</v>
      </c>
      <c r="C484" t="s">
        <v>50</v>
      </c>
      <c r="D484" s="1">
        <v>45870</v>
      </c>
      <c r="E484" s="3">
        <v>19000</v>
      </c>
      <c r="F484" t="str">
        <f>+TRIM(B484)</f>
        <v>Meridian Water Group</v>
      </c>
      <c r="G484" t="str" cm="1">
        <f t="array" ref="G484">_xlfn.IFS(
  ISNUMBER(SEARCH("Core", C484)), "Core Platform",
  ISNUMBER(SEARCH("Analytics", C484)), "Analytics",
  ISNUMBER(SEARCH("Automation", C484)), "Automation"
)</f>
        <v>Automation</v>
      </c>
    </row>
    <row r="485" spans="1:7" x14ac:dyDescent="0.35">
      <c r="A485" t="s">
        <v>11</v>
      </c>
      <c r="B485" t="s">
        <v>59</v>
      </c>
      <c r="C485" t="s">
        <v>65</v>
      </c>
      <c r="D485" s="1">
        <v>45627</v>
      </c>
      <c r="E485" s="3">
        <v>39000</v>
      </c>
      <c r="F485" t="str">
        <f>+TRIM(B485)</f>
        <v>Pinecrest Property</v>
      </c>
      <c r="G485" t="str" cm="1">
        <f t="array" ref="G485">_xlfn.IFS(
  ISNUMBER(SEARCH("Core", C485)), "Core Platform",
  ISNUMBER(SEARCH("Analytics", C485)), "Analytics",
  ISNUMBER(SEARCH("Automation", C485)), "Automation"
)</f>
        <v>Analytics</v>
      </c>
    </row>
    <row r="486" spans="1:7" x14ac:dyDescent="0.35">
      <c r="A486" t="s">
        <v>41</v>
      </c>
      <c r="B486" t="s">
        <v>42</v>
      </c>
      <c r="C486" t="s">
        <v>13</v>
      </c>
      <c r="D486" s="1">
        <v>45717</v>
      </c>
      <c r="E486" s="3">
        <v>22000</v>
      </c>
      <c r="F486" t="str">
        <f>+TRIM(B486)</f>
        <v>Delta Refrigeration</v>
      </c>
      <c r="G486" t="str" cm="1">
        <f t="array" ref="G486">_xlfn.IFS(
  ISNUMBER(SEARCH("Core", C486)), "Core Platform",
  ISNUMBER(SEARCH("Analytics", C486)), "Analytics",
  ISNUMBER(SEARCH("Automation", C486)), "Automation"
)</f>
        <v>Automation</v>
      </c>
    </row>
    <row r="487" spans="1:7" x14ac:dyDescent="0.35">
      <c r="A487" t="s">
        <v>60</v>
      </c>
      <c r="B487" t="s">
        <v>61</v>
      </c>
      <c r="C487" t="s">
        <v>28</v>
      </c>
      <c r="D487" s="1">
        <v>45962</v>
      </c>
      <c r="E487" s="3">
        <v>35000</v>
      </c>
      <c r="F487" t="str">
        <f>+TRIM(B487)</f>
        <v>Redwood Field Services</v>
      </c>
      <c r="G487" t="str" cm="1">
        <f t="array" ref="G487">_xlfn.IFS(
  ISNUMBER(SEARCH("Core", C487)), "Core Platform",
  ISNUMBER(SEARCH("Analytics", C487)), "Analytics",
  ISNUMBER(SEARCH("Automation", C487)), "Automation"
)</f>
        <v>Core Platform</v>
      </c>
    </row>
    <row r="488" spans="1:7" x14ac:dyDescent="0.35">
      <c r="A488" t="s">
        <v>29</v>
      </c>
      <c r="B488" t="s">
        <v>46</v>
      </c>
      <c r="C488" t="s">
        <v>7</v>
      </c>
      <c r="D488" s="1">
        <v>45809</v>
      </c>
      <c r="E488" s="3">
        <v>36000</v>
      </c>
      <c r="F488" t="str">
        <f>+TRIM(B488)</f>
        <v>Atlas Elevator Co</v>
      </c>
      <c r="G488" t="str" cm="1">
        <f t="array" ref="G488">_xlfn.IFS(
  ISNUMBER(SEARCH("Core", C488)), "Core Platform",
  ISNUMBER(SEARCH("Analytics", C488)), "Analytics",
  ISNUMBER(SEARCH("Automation", C488)), "Automation"
)</f>
        <v>Analytics</v>
      </c>
    </row>
    <row r="489" spans="1:7" x14ac:dyDescent="0.35">
      <c r="A489" t="s">
        <v>19</v>
      </c>
      <c r="B489" t="s">
        <v>20</v>
      </c>
      <c r="C489" t="s">
        <v>13</v>
      </c>
      <c r="D489" s="1">
        <v>45778</v>
      </c>
      <c r="E489" s="3">
        <v>10000</v>
      </c>
      <c r="F489" t="str">
        <f>+TRIM(B489)</f>
        <v>Granite State Mechanical</v>
      </c>
      <c r="G489" t="str" cm="1">
        <f t="array" ref="G489">_xlfn.IFS(
  ISNUMBER(SEARCH("Core", C489)), "Core Platform",
  ISNUMBER(SEARCH("Analytics", C489)), "Analytics",
  ISNUMBER(SEARCH("Automation", C489)), "Automation"
)</f>
        <v>Automation</v>
      </c>
    </row>
    <row r="490" spans="1:7" x14ac:dyDescent="0.35">
      <c r="A490" t="s">
        <v>17</v>
      </c>
      <c r="B490" t="s">
        <v>18</v>
      </c>
      <c r="C490" t="s">
        <v>16</v>
      </c>
      <c r="D490" s="1">
        <v>45839</v>
      </c>
      <c r="E490" s="3">
        <v>90000</v>
      </c>
      <c r="F490" t="str">
        <f>+TRIM(B490)</f>
        <v>Ironclad Security</v>
      </c>
      <c r="G490" t="str" cm="1">
        <f t="array" ref="G490">_xlfn.IFS(
  ISNUMBER(SEARCH("Core", C490)), "Core Platform",
  ISNUMBER(SEARCH("Analytics", C490)), "Analytics",
  ISNUMBER(SEARCH("Automation", C490)), "Automation"
)</f>
        <v>Core Platform</v>
      </c>
    </row>
    <row r="491" spans="1:7" x14ac:dyDescent="0.35">
      <c r="A491" t="s">
        <v>26</v>
      </c>
      <c r="B491" t="s">
        <v>27</v>
      </c>
      <c r="C491" t="s">
        <v>16</v>
      </c>
      <c r="D491" s="1">
        <v>45658</v>
      </c>
      <c r="E491" s="3">
        <v>47000</v>
      </c>
      <c r="F491" t="str">
        <f>+TRIM(B491)</f>
        <v>Blue Harbor Logistics</v>
      </c>
      <c r="G491" t="str" cm="1">
        <f t="array" ref="G491">_xlfn.IFS(
  ISNUMBER(SEARCH("Core", C491)), "Core Platform",
  ISNUMBER(SEARCH("Analytics", C491)), "Analytics",
  ISNUMBER(SEARCH("Automation", C491)), "Automation"
)</f>
        <v>Core Platform</v>
      </c>
    </row>
    <row r="492" spans="1:7" x14ac:dyDescent="0.35">
      <c r="A492" t="s">
        <v>57</v>
      </c>
      <c r="B492" t="s">
        <v>58</v>
      </c>
      <c r="C492" t="s">
        <v>10</v>
      </c>
      <c r="D492" s="1">
        <v>45839</v>
      </c>
      <c r="E492" s="3">
        <v>18000</v>
      </c>
      <c r="F492" t="str">
        <f>+TRIM(B492)</f>
        <v>Everest Drilling</v>
      </c>
      <c r="G492" t="str" cm="1">
        <f t="array" ref="G492">_xlfn.IFS(
  ISNUMBER(SEARCH("Core", C492)), "Core Platform",
  ISNUMBER(SEARCH("Analytics", C492)), "Analytics",
  ISNUMBER(SEARCH("Automation", C492)), "Automation"
)</f>
        <v>Analytics</v>
      </c>
    </row>
    <row r="493" spans="1:7" x14ac:dyDescent="0.35">
      <c r="A493" t="s">
        <v>33</v>
      </c>
      <c r="B493" t="s">
        <v>34</v>
      </c>
      <c r="C493" t="s">
        <v>28</v>
      </c>
      <c r="D493" s="1">
        <v>45962</v>
      </c>
      <c r="E493" s="3">
        <v>66000</v>
      </c>
      <c r="F493" t="str">
        <f>+TRIM(B493)</f>
        <v>Sandstone Roofing</v>
      </c>
      <c r="G493" t="str" cm="1">
        <f t="array" ref="G493">_xlfn.IFS(
  ISNUMBER(SEARCH("Core", C493)), "Core Platform",
  ISNUMBER(SEARCH("Analytics", C493)), "Analytics",
  ISNUMBER(SEARCH("Automation", C493)), "Automation"
)</f>
        <v>Core Platform</v>
      </c>
    </row>
    <row r="494" spans="1:7" x14ac:dyDescent="0.35">
      <c r="A494" t="s">
        <v>66</v>
      </c>
      <c r="B494" t="s">
        <v>67</v>
      </c>
      <c r="C494" t="s">
        <v>13</v>
      </c>
      <c r="D494" s="1">
        <v>45870</v>
      </c>
      <c r="E494" s="3">
        <v>19000</v>
      </c>
      <c r="F494" t="str">
        <f>+TRIM(B494)</f>
        <v>Beacon Environmental</v>
      </c>
      <c r="G494" t="str" cm="1">
        <f t="array" ref="G494">_xlfn.IFS(
  ISNUMBER(SEARCH("Core", C494)), "Core Platform",
  ISNUMBER(SEARCH("Analytics", C494)), "Analytics",
  ISNUMBER(SEARCH("Automation", C494)), "Automation"
)</f>
        <v>Automation</v>
      </c>
    </row>
    <row r="495" spans="1:7" x14ac:dyDescent="0.35">
      <c r="A495" t="s">
        <v>53</v>
      </c>
      <c r="B495" t="s">
        <v>103</v>
      </c>
      <c r="C495" t="s">
        <v>16</v>
      </c>
      <c r="D495" s="1">
        <v>45748</v>
      </c>
      <c r="E495" s="3">
        <v>63000</v>
      </c>
      <c r="F495" t="str">
        <f>+TRIM(B495)</f>
        <v>Maple Grove Maintenance</v>
      </c>
      <c r="G495" t="str" cm="1">
        <f t="array" ref="G495">_xlfn.IFS(
  ISNUMBER(SEARCH("Core", C495)), "Core Platform",
  ISNUMBER(SEARCH("Analytics", C495)), "Analytics",
  ISNUMBER(SEARCH("Automation", C495)), "Automation"
)</f>
        <v>Core Platform</v>
      </c>
    </row>
    <row r="496" spans="1:7" x14ac:dyDescent="0.35">
      <c r="A496" t="s">
        <v>48</v>
      </c>
      <c r="B496" t="s">
        <v>49</v>
      </c>
      <c r="C496" t="s">
        <v>28</v>
      </c>
      <c r="D496" s="1">
        <v>45809</v>
      </c>
      <c r="E496" s="3">
        <v>112000</v>
      </c>
      <c r="F496" t="str">
        <f>+TRIM(B496)</f>
        <v>Lakeside Energy</v>
      </c>
      <c r="G496" t="str" cm="1">
        <f t="array" ref="G496">_xlfn.IFS(
  ISNUMBER(SEARCH("Core", C496)), "Core Platform",
  ISNUMBER(SEARCH("Analytics", C496)), "Analytics",
  ISNUMBER(SEARCH("Automation", C496)), "Automation"
)</f>
        <v>Core Platform</v>
      </c>
    </row>
    <row r="497" spans="1:7" x14ac:dyDescent="0.35">
      <c r="A497" t="s">
        <v>72</v>
      </c>
      <c r="B497" t="s">
        <v>73</v>
      </c>
      <c r="C497" t="s">
        <v>21</v>
      </c>
      <c r="D497" s="1">
        <v>45962</v>
      </c>
      <c r="E497" s="3">
        <v>16000</v>
      </c>
      <c r="F497" t="str">
        <f>+TRIM(B497)</f>
        <v>Northwind Trading</v>
      </c>
      <c r="G497" t="str" cm="1">
        <f t="array" ref="G497">_xlfn.IFS(
  ISNUMBER(SEARCH("Core", C497)), "Core Platform",
  ISNUMBER(SEARCH("Analytics", C497)), "Analytics",
  ISNUMBER(SEARCH("Automation", C497)), "Automation"
)</f>
        <v>Automation</v>
      </c>
    </row>
    <row r="498" spans="1:7" x14ac:dyDescent="0.35">
      <c r="A498" t="s">
        <v>22</v>
      </c>
      <c r="B498" t="s">
        <v>23</v>
      </c>
      <c r="C498" t="s">
        <v>7</v>
      </c>
      <c r="D498" s="1">
        <v>45992</v>
      </c>
      <c r="E498" s="3">
        <v>15000</v>
      </c>
      <c r="F498" t="str">
        <f>+TRIM(B498)</f>
        <v>Ridgeline HVAC</v>
      </c>
      <c r="G498" t="str" cm="1">
        <f t="array" ref="G498">_xlfn.IFS(
  ISNUMBER(SEARCH("Core", C498)), "Core Platform",
  ISNUMBER(SEARCH("Analytics", C498)), "Analytics",
  ISNUMBER(SEARCH("Automation", C498)), "Automation"
)</f>
        <v>Analytics</v>
      </c>
    </row>
    <row r="499" spans="1:7" x14ac:dyDescent="0.35">
      <c r="A499" t="s">
        <v>41</v>
      </c>
      <c r="B499" t="s">
        <v>42</v>
      </c>
      <c r="C499" t="s">
        <v>7</v>
      </c>
      <c r="D499" s="1">
        <v>45658</v>
      </c>
      <c r="E499" s="3">
        <v>17000</v>
      </c>
      <c r="F499" t="str">
        <f>+TRIM(B499)</f>
        <v>Delta Refrigeration</v>
      </c>
      <c r="G499" t="str" cm="1">
        <f t="array" ref="G499">_xlfn.IFS(
  ISNUMBER(SEARCH("Core", C499)), "Core Platform",
  ISNUMBER(SEARCH("Analytics", C499)), "Analytics",
  ISNUMBER(SEARCH("Automation", C499)), "Automation"
)</f>
        <v>Analytics</v>
      </c>
    </row>
    <row r="500" spans="1:7" x14ac:dyDescent="0.35">
      <c r="A500" t="s">
        <v>11</v>
      </c>
      <c r="B500" t="s">
        <v>59</v>
      </c>
      <c r="C500" t="s">
        <v>21</v>
      </c>
      <c r="D500" s="1">
        <v>45689</v>
      </c>
      <c r="E500" s="3">
        <v>24000</v>
      </c>
      <c r="F500" t="str">
        <f>+TRIM(B500)</f>
        <v>Pinecrest Property</v>
      </c>
      <c r="G500" t="str" cm="1">
        <f t="array" ref="G500">_xlfn.IFS(
  ISNUMBER(SEARCH("Core", C500)), "Core Platform",
  ISNUMBER(SEARCH("Analytics", C500)), "Analytics",
  ISNUMBER(SEARCH("Automation", C500)), "Automation"
)</f>
        <v>Automation</v>
      </c>
    </row>
    <row r="501" spans="1:7" x14ac:dyDescent="0.35">
      <c r="A501" t="s">
        <v>60</v>
      </c>
      <c r="B501" t="s">
        <v>61</v>
      </c>
      <c r="C501" t="s">
        <v>28</v>
      </c>
      <c r="D501" s="1">
        <v>45689</v>
      </c>
      <c r="E501" s="3">
        <v>35000</v>
      </c>
      <c r="F501" t="str">
        <f>+TRIM(B501)</f>
        <v>Redwood Field Services</v>
      </c>
      <c r="G501" t="str" cm="1">
        <f t="array" ref="G501">_xlfn.IFS(
  ISNUMBER(SEARCH("Core", C501)), "Core Platform",
  ISNUMBER(SEARCH("Analytics", C501)), "Analytics",
  ISNUMBER(SEARCH("Automation", C501)), "Automation"
)</f>
        <v>Core Platform</v>
      </c>
    </row>
    <row r="502" spans="1:7" x14ac:dyDescent="0.35">
      <c r="A502" t="s">
        <v>5</v>
      </c>
      <c r="B502" t="s">
        <v>6</v>
      </c>
      <c r="C502" t="s">
        <v>10</v>
      </c>
      <c r="D502" s="1">
        <v>45717</v>
      </c>
      <c r="E502" s="3">
        <v>24000</v>
      </c>
      <c r="F502" t="str">
        <f>+TRIM(B502)</f>
        <v>Meridian Water Group</v>
      </c>
      <c r="G502" t="str" cm="1">
        <f t="array" ref="G502">_xlfn.IFS(
  ISNUMBER(SEARCH("Core", C502)), "Core Platform",
  ISNUMBER(SEARCH("Analytics", C502)), "Analytics",
  ISNUMBER(SEARCH("Automation", C502)), "Automation"
)</f>
        <v>Analytics</v>
      </c>
    </row>
    <row r="503" spans="1:7" x14ac:dyDescent="0.35">
      <c r="A503" t="s">
        <v>43</v>
      </c>
      <c r="B503" t="s">
        <v>44</v>
      </c>
      <c r="C503" t="s">
        <v>50</v>
      </c>
      <c r="D503" s="1">
        <v>45931</v>
      </c>
      <c r="E503" s="3">
        <v>27000</v>
      </c>
      <c r="F503" t="str">
        <f>+TRIM(B503)</f>
        <v>Harborview Plumbing</v>
      </c>
      <c r="G503" t="str" cm="1">
        <f t="array" ref="G503">_xlfn.IFS(
  ISNUMBER(SEARCH("Core", C503)), "Core Platform",
  ISNUMBER(SEARCH("Analytics", C503)), "Analytics",
  ISNUMBER(SEARCH("Automation", C503)), "Automation"
)</f>
        <v>Automation</v>
      </c>
    </row>
    <row r="504" spans="1:7" x14ac:dyDescent="0.35">
      <c r="A504" t="s">
        <v>78</v>
      </c>
      <c r="B504" t="s">
        <v>79</v>
      </c>
      <c r="C504" t="s">
        <v>28</v>
      </c>
      <c r="D504" s="1">
        <v>45992</v>
      </c>
      <c r="E504" s="3">
        <v>49000</v>
      </c>
      <c r="F504" t="str">
        <f>+TRIM(B504)</f>
        <v>Orion Building Systems</v>
      </c>
      <c r="G504" t="str" cm="1">
        <f t="array" ref="G504">_xlfn.IFS(
  ISNUMBER(SEARCH("Core", C504)), "Core Platform",
  ISNUMBER(SEARCH("Analytics", C504)), "Analytics",
  ISNUMBER(SEARCH("Automation", C504)), "Automation"
)</f>
        <v>Core Platform</v>
      </c>
    </row>
    <row r="505" spans="1:7" x14ac:dyDescent="0.35">
      <c r="A505" t="s">
        <v>31</v>
      </c>
      <c r="B505" t="s">
        <v>32</v>
      </c>
      <c r="C505" t="s">
        <v>16</v>
      </c>
      <c r="D505" s="1">
        <v>45627</v>
      </c>
      <c r="E505" s="3">
        <v>77000</v>
      </c>
      <c r="F505" t="str">
        <f>+TRIM(B505)</f>
        <v>Summit Fire Protection</v>
      </c>
      <c r="G505" t="str" cm="1">
        <f t="array" ref="G505">_xlfn.IFS(
  ISNUMBER(SEARCH("Core", C505)), "Core Platform",
  ISNUMBER(SEARCH("Analytics", C505)), "Analytics",
  ISNUMBER(SEARCH("Automation", C505)), "Automation"
)</f>
        <v>Core Platform</v>
      </c>
    </row>
    <row r="506" spans="1:7" x14ac:dyDescent="0.35">
      <c r="A506" t="s">
        <v>33</v>
      </c>
      <c r="B506" t="s">
        <v>34</v>
      </c>
      <c r="C506" t="s">
        <v>28</v>
      </c>
      <c r="D506" s="1">
        <v>45870</v>
      </c>
      <c r="E506" s="3">
        <v>66000</v>
      </c>
      <c r="F506" t="str">
        <f>+TRIM(B506)</f>
        <v>Sandstone Roofing</v>
      </c>
      <c r="G506" t="str" cm="1">
        <f t="array" ref="G506">_xlfn.IFS(
  ISNUMBER(SEARCH("Core", C506)), "Core Platform",
  ISNUMBER(SEARCH("Analytics", C506)), "Analytics",
  ISNUMBER(SEARCH("Automation", C506)), "Automation"
)</f>
        <v>Core Platform</v>
      </c>
    </row>
    <row r="507" spans="1:7" x14ac:dyDescent="0.35">
      <c r="A507" t="s">
        <v>14</v>
      </c>
      <c r="B507" t="s">
        <v>15</v>
      </c>
      <c r="C507" t="s">
        <v>28</v>
      </c>
      <c r="D507" s="1">
        <v>45901</v>
      </c>
      <c r="E507" s="3">
        <v>79000</v>
      </c>
      <c r="F507" t="str">
        <f>+TRIM(B507)</f>
        <v>Willowbrook Care</v>
      </c>
      <c r="G507" t="str" cm="1">
        <f t="array" ref="G507">_xlfn.IFS(
  ISNUMBER(SEARCH("Core", C507)), "Core Platform",
  ISNUMBER(SEARCH("Analytics", C507)), "Analytics",
  ISNUMBER(SEARCH("Automation", C507)), "Automation"
)</f>
        <v>Core Platform</v>
      </c>
    </row>
    <row r="508" spans="1:7" x14ac:dyDescent="0.35">
      <c r="A508" t="s">
        <v>11</v>
      </c>
      <c r="B508" t="s">
        <v>59</v>
      </c>
      <c r="C508" t="s">
        <v>28</v>
      </c>
      <c r="D508" s="1">
        <v>45689</v>
      </c>
      <c r="E508" s="3">
        <v>118000</v>
      </c>
      <c r="F508" t="str">
        <f>+TRIM(B508)</f>
        <v>Pinecrest Property</v>
      </c>
      <c r="G508" t="str" cm="1">
        <f t="array" ref="G508">_xlfn.IFS(
  ISNUMBER(SEARCH("Core", C508)), "Core Platform",
  ISNUMBER(SEARCH("Analytics", C508)), "Analytics",
  ISNUMBER(SEARCH("Automation", C508)), "Automation"
)</f>
        <v>Core Platform</v>
      </c>
    </row>
    <row r="509" spans="1:7" x14ac:dyDescent="0.35">
      <c r="A509" t="s">
        <v>5</v>
      </c>
      <c r="B509" t="s">
        <v>6</v>
      </c>
      <c r="C509" t="s">
        <v>21</v>
      </c>
      <c r="D509" s="1">
        <v>45689</v>
      </c>
      <c r="E509" s="3">
        <v>19000</v>
      </c>
      <c r="F509" t="str">
        <f>+TRIM(B509)</f>
        <v>Meridian Water Group</v>
      </c>
      <c r="G509" t="str" cm="1">
        <f t="array" ref="G509">_xlfn.IFS(
  ISNUMBER(SEARCH("Core", C509)), "Core Platform",
  ISNUMBER(SEARCH("Analytics", C509)), "Analytics",
  ISNUMBER(SEARCH("Automation", C509)), "Automation"
)</f>
        <v>Automation</v>
      </c>
    </row>
    <row r="510" spans="1:7" x14ac:dyDescent="0.35">
      <c r="A510" t="s">
        <v>53</v>
      </c>
      <c r="B510" t="s">
        <v>54</v>
      </c>
      <c r="C510" t="s">
        <v>16</v>
      </c>
      <c r="D510" s="1">
        <v>45809</v>
      </c>
      <c r="E510" s="3">
        <v>63000</v>
      </c>
      <c r="F510" t="str">
        <f>+TRIM(B510)</f>
        <v>Maple Grove Maintenance</v>
      </c>
      <c r="G510" t="str" cm="1">
        <f t="array" ref="G510">_xlfn.IFS(
  ISNUMBER(SEARCH("Core", C510)), "Core Platform",
  ISNUMBER(SEARCH("Analytics", C510)), "Analytics",
  ISNUMBER(SEARCH("Automation", C510)), "Automation"
)</f>
        <v>Core Platform</v>
      </c>
    </row>
    <row r="511" spans="1:7" x14ac:dyDescent="0.35">
      <c r="A511" t="s">
        <v>70</v>
      </c>
      <c r="B511" t="s">
        <v>106</v>
      </c>
      <c r="C511" t="s">
        <v>28</v>
      </c>
      <c r="D511" s="1">
        <v>45870</v>
      </c>
      <c r="E511" s="3">
        <v>85000</v>
      </c>
      <c r="F511" t="str">
        <f>+TRIM(B511)</f>
        <v>Vertex Manufacturing</v>
      </c>
      <c r="G511" t="str" cm="1">
        <f t="array" ref="G511">_xlfn.IFS(
  ISNUMBER(SEARCH("Core", C511)), "Core Platform",
  ISNUMBER(SEARCH("Analytics", C511)), "Analytics",
  ISNUMBER(SEARCH("Automation", C511)), "Automation"
)</f>
        <v>Core Platform</v>
      </c>
    </row>
    <row r="512" spans="1:7" x14ac:dyDescent="0.35">
      <c r="A512" t="s">
        <v>57</v>
      </c>
      <c r="B512" t="s">
        <v>58</v>
      </c>
      <c r="C512" t="s">
        <v>10</v>
      </c>
      <c r="D512" s="1">
        <v>45870</v>
      </c>
      <c r="E512" s="3">
        <v>18000</v>
      </c>
      <c r="F512" t="str">
        <f>+TRIM(B512)</f>
        <v>Everest Drilling</v>
      </c>
      <c r="G512" t="str" cm="1">
        <f t="array" ref="G512">_xlfn.IFS(
  ISNUMBER(SEARCH("Core", C512)), "Core Platform",
  ISNUMBER(SEARCH("Analytics", C512)), "Analytics",
  ISNUMBER(SEARCH("Automation", C512)), "Automation"
)</f>
        <v>Analytics</v>
      </c>
    </row>
    <row r="513" spans="1:7" x14ac:dyDescent="0.35">
      <c r="A513" t="s">
        <v>48</v>
      </c>
      <c r="B513" t="s">
        <v>49</v>
      </c>
      <c r="C513" t="s">
        <v>7</v>
      </c>
      <c r="D513" s="1">
        <v>45689</v>
      </c>
      <c r="E513" s="3">
        <v>26000</v>
      </c>
      <c r="F513" t="str">
        <f>+TRIM(B513)</f>
        <v>Lakeside Energy</v>
      </c>
      <c r="G513" t="str" cm="1">
        <f t="array" ref="G513">_xlfn.IFS(
  ISNUMBER(SEARCH("Core", C513)), "Core Platform",
  ISNUMBER(SEARCH("Analytics", C513)), "Analytics",
  ISNUMBER(SEARCH("Automation", C513)), "Automation"
)</f>
        <v>Analytics</v>
      </c>
    </row>
    <row r="514" spans="1:7" x14ac:dyDescent="0.35">
      <c r="A514" t="s">
        <v>43</v>
      </c>
      <c r="B514" t="s">
        <v>44</v>
      </c>
      <c r="C514" t="s">
        <v>50</v>
      </c>
      <c r="D514" s="1">
        <v>45778</v>
      </c>
      <c r="E514" s="3">
        <v>27000</v>
      </c>
      <c r="F514" t="str">
        <f>+TRIM(B514)</f>
        <v>Harborview Plumbing</v>
      </c>
      <c r="G514" t="str" cm="1">
        <f t="array" ref="G514">_xlfn.IFS(
  ISNUMBER(SEARCH("Core", C514)), "Core Platform",
  ISNUMBER(SEARCH("Analytics", C514)), "Analytics",
  ISNUMBER(SEARCH("Automation", C514)), "Automation"
)</f>
        <v>Automation</v>
      </c>
    </row>
    <row r="515" spans="1:7" x14ac:dyDescent="0.35">
      <c r="A515" t="s">
        <v>17</v>
      </c>
      <c r="B515" t="s">
        <v>18</v>
      </c>
      <c r="C515" t="s">
        <v>10</v>
      </c>
      <c r="D515" s="1">
        <v>45931</v>
      </c>
      <c r="E515" s="3">
        <v>45000</v>
      </c>
      <c r="F515" t="str">
        <f>+TRIM(B515)</f>
        <v>Ironclad Security</v>
      </c>
      <c r="G515" t="str" cm="1">
        <f t="array" ref="G515">_xlfn.IFS(
  ISNUMBER(SEARCH("Core", C515)), "Core Platform",
  ISNUMBER(SEARCH("Analytics", C515)), "Analytics",
  ISNUMBER(SEARCH("Automation", C515)), "Automation"
)</f>
        <v>Analytics</v>
      </c>
    </row>
    <row r="516" spans="1:7" x14ac:dyDescent="0.35">
      <c r="A516" t="s">
        <v>60</v>
      </c>
      <c r="B516" t="s">
        <v>76</v>
      </c>
      <c r="C516" t="s">
        <v>10</v>
      </c>
      <c r="D516" s="1">
        <v>45778</v>
      </c>
      <c r="E516" s="3">
        <v>23000</v>
      </c>
      <c r="F516" t="str">
        <f>+TRIM(B516)</f>
        <v>Redwood Field Services</v>
      </c>
      <c r="G516" t="str" cm="1">
        <f t="array" ref="G516">_xlfn.IFS(
  ISNUMBER(SEARCH("Core", C516)), "Core Platform",
  ISNUMBER(SEARCH("Analytics", C516)), "Analytics",
  ISNUMBER(SEARCH("Automation", C516)), "Automation"
)</f>
        <v>Analytics</v>
      </c>
    </row>
    <row r="517" spans="1:7" x14ac:dyDescent="0.35">
      <c r="A517" t="s">
        <v>24</v>
      </c>
      <c r="B517" t="s">
        <v>45</v>
      </c>
      <c r="C517" t="s">
        <v>28</v>
      </c>
      <c r="D517" s="1">
        <v>45992</v>
      </c>
      <c r="E517" s="3">
        <v>100000</v>
      </c>
      <c r="F517" t="str">
        <f>+TRIM(B517)</f>
        <v>Kestrel Telecom</v>
      </c>
      <c r="G517" t="str" cm="1">
        <f t="array" ref="G517">_xlfn.IFS(
  ISNUMBER(SEARCH("Core", C517)), "Core Platform",
  ISNUMBER(SEARCH("Analytics", C517)), "Analytics",
  ISNUMBER(SEARCH("Automation", C517)), "Automation"
)</f>
        <v>Core Platform</v>
      </c>
    </row>
    <row r="518" spans="1:7" x14ac:dyDescent="0.35">
      <c r="A518" t="s">
        <v>39</v>
      </c>
      <c r="B518" t="s">
        <v>40</v>
      </c>
      <c r="C518" t="s">
        <v>16</v>
      </c>
      <c r="D518" s="1">
        <v>45717</v>
      </c>
      <c r="E518" s="3">
        <v>60000</v>
      </c>
      <c r="F518" t="str">
        <f>+TRIM(B518)</f>
        <v>Foundry Industrial</v>
      </c>
      <c r="G518" t="str" cm="1">
        <f t="array" ref="G518">_xlfn.IFS(
  ISNUMBER(SEARCH("Core", C518)), "Core Platform",
  ISNUMBER(SEARCH("Analytics", C518)), "Analytics",
  ISNUMBER(SEARCH("Automation", C518)), "Automation"
)</f>
        <v>Core Platform</v>
      </c>
    </row>
    <row r="519" spans="1:7" x14ac:dyDescent="0.35">
      <c r="A519" t="s">
        <v>43</v>
      </c>
      <c r="B519" t="s">
        <v>44</v>
      </c>
      <c r="C519" t="s">
        <v>21</v>
      </c>
      <c r="D519" s="1">
        <v>45901</v>
      </c>
      <c r="E519" s="3">
        <v>27000</v>
      </c>
      <c r="F519" t="str">
        <f>+TRIM(B519)</f>
        <v>Harborview Plumbing</v>
      </c>
      <c r="G519" t="str" cm="1">
        <f t="array" ref="G519">_xlfn.IFS(
  ISNUMBER(SEARCH("Core", C519)), "Core Platform",
  ISNUMBER(SEARCH("Analytics", C519)), "Analytics",
  ISNUMBER(SEARCH("Automation", C519)), "Automation"
)</f>
        <v>Automation</v>
      </c>
    </row>
    <row r="520" spans="1:7" x14ac:dyDescent="0.35">
      <c r="A520" t="s">
        <v>24</v>
      </c>
      <c r="B520" t="s">
        <v>45</v>
      </c>
      <c r="C520" t="s">
        <v>21</v>
      </c>
      <c r="D520" s="1">
        <v>45962</v>
      </c>
      <c r="E520" s="3">
        <v>22000</v>
      </c>
      <c r="F520" t="str">
        <f>+TRIM(B520)</f>
        <v>Kestrel Telecom</v>
      </c>
      <c r="G520" t="str" cm="1">
        <f t="array" ref="G520">_xlfn.IFS(
  ISNUMBER(SEARCH("Core", C520)), "Core Platform",
  ISNUMBER(SEARCH("Analytics", C520)), "Analytics",
  ISNUMBER(SEARCH("Automation", C520)), "Automation"
)</f>
        <v>Automation</v>
      </c>
    </row>
    <row r="521" spans="1:7" x14ac:dyDescent="0.35">
      <c r="A521" t="s">
        <v>11</v>
      </c>
      <c r="B521" t="s">
        <v>59</v>
      </c>
      <c r="C521" t="s">
        <v>13</v>
      </c>
      <c r="D521" s="1">
        <v>45962</v>
      </c>
      <c r="E521" s="3">
        <v>27000</v>
      </c>
      <c r="F521" t="str">
        <f>+TRIM(B521)</f>
        <v>Pinecrest Property</v>
      </c>
      <c r="G521" t="str" cm="1">
        <f t="array" ref="G521">_xlfn.IFS(
  ISNUMBER(SEARCH("Core", C521)), "Core Platform",
  ISNUMBER(SEARCH("Analytics", C521)), "Analytics",
  ISNUMBER(SEARCH("Automation", C521)), "Automation"
)</f>
        <v>Automation</v>
      </c>
    </row>
    <row r="522" spans="1:7" x14ac:dyDescent="0.35">
      <c r="A522" t="s">
        <v>43</v>
      </c>
      <c r="B522" t="s">
        <v>44</v>
      </c>
      <c r="C522" t="s">
        <v>10</v>
      </c>
      <c r="D522" s="1">
        <v>45627</v>
      </c>
      <c r="E522" s="3">
        <v>18000</v>
      </c>
      <c r="F522" t="str">
        <f>+TRIM(B522)</f>
        <v>Harborview Plumbing</v>
      </c>
      <c r="G522" t="str" cm="1">
        <f t="array" ref="G522">_xlfn.IFS(
  ISNUMBER(SEARCH("Core", C522)), "Core Platform",
  ISNUMBER(SEARCH("Analytics", C522)), "Analytics",
  ISNUMBER(SEARCH("Automation", C522)), "Automation"
)</f>
        <v>Analytics</v>
      </c>
    </row>
    <row r="523" spans="1:7" x14ac:dyDescent="0.35">
      <c r="A523" t="s">
        <v>22</v>
      </c>
      <c r="B523" t="s">
        <v>23</v>
      </c>
      <c r="C523" t="s">
        <v>16</v>
      </c>
      <c r="D523" s="1">
        <v>45931</v>
      </c>
      <c r="E523" s="3">
        <v>132000</v>
      </c>
      <c r="F523" t="str">
        <f>+TRIM(B523)</f>
        <v>Ridgeline HVAC</v>
      </c>
      <c r="G523" t="str" cm="1">
        <f t="array" ref="G523">_xlfn.IFS(
  ISNUMBER(SEARCH("Core", C523)), "Core Platform",
  ISNUMBER(SEARCH("Analytics", C523)), "Analytics",
  ISNUMBER(SEARCH("Automation", C523)), "Automation"
)</f>
        <v>Core Platform</v>
      </c>
    </row>
    <row r="524" spans="1:7" x14ac:dyDescent="0.35">
      <c r="A524" t="s">
        <v>72</v>
      </c>
      <c r="B524" t="s">
        <v>73</v>
      </c>
      <c r="C524" t="s">
        <v>65</v>
      </c>
      <c r="D524" s="1">
        <v>45717</v>
      </c>
      <c r="E524" s="3">
        <v>27000</v>
      </c>
      <c r="F524" t="str">
        <f>+TRIM(B524)</f>
        <v>Northwind Trading</v>
      </c>
      <c r="G524" t="str" cm="1">
        <f t="array" ref="G524">_xlfn.IFS(
  ISNUMBER(SEARCH("Core", C524)), "Core Platform",
  ISNUMBER(SEARCH("Analytics", C524)), "Analytics",
  ISNUMBER(SEARCH("Automation", C524)), "Automation"
)</f>
        <v>Analytics</v>
      </c>
    </row>
    <row r="525" spans="1:7" x14ac:dyDescent="0.35">
      <c r="A525" t="s">
        <v>70</v>
      </c>
      <c r="B525" t="s">
        <v>71</v>
      </c>
      <c r="C525" t="s">
        <v>65</v>
      </c>
      <c r="D525" s="1">
        <v>45931</v>
      </c>
      <c r="E525" s="3">
        <v>27000</v>
      </c>
      <c r="F525" t="str">
        <f>+TRIM(B525)</f>
        <v>Vertex Manufacturing</v>
      </c>
      <c r="G525" t="str" cm="1">
        <f t="array" ref="G525">_xlfn.IFS(
  ISNUMBER(SEARCH("Core", C525)), "Core Platform",
  ISNUMBER(SEARCH("Analytics", C525)), "Analytics",
  ISNUMBER(SEARCH("Automation", C525)), "Automation"
)</f>
        <v>Analytics</v>
      </c>
    </row>
    <row r="526" spans="1:7" x14ac:dyDescent="0.35">
      <c r="A526" t="s">
        <v>70</v>
      </c>
      <c r="B526" t="s">
        <v>71</v>
      </c>
      <c r="C526" t="s">
        <v>21</v>
      </c>
      <c r="D526" s="1">
        <v>45809</v>
      </c>
      <c r="E526" s="3">
        <v>9000</v>
      </c>
      <c r="F526" t="str">
        <f>+TRIM(B526)</f>
        <v>Vertex Manufacturing</v>
      </c>
      <c r="G526" t="str" cm="1">
        <f t="array" ref="G526">_xlfn.IFS(
  ISNUMBER(SEARCH("Core", C526)), "Core Platform",
  ISNUMBER(SEARCH("Analytics", C526)), "Analytics",
  ISNUMBER(SEARCH("Automation", C526)), "Automation"
)</f>
        <v>Automation</v>
      </c>
    </row>
    <row r="527" spans="1:7" x14ac:dyDescent="0.35">
      <c r="A527" t="s">
        <v>53</v>
      </c>
      <c r="B527" t="s">
        <v>54</v>
      </c>
      <c r="C527" t="s">
        <v>28</v>
      </c>
      <c r="D527" s="1">
        <v>45870</v>
      </c>
      <c r="E527" s="3">
        <v>73000</v>
      </c>
      <c r="F527" t="str">
        <f>+TRIM(B527)</f>
        <v>Maple Grove Maintenance</v>
      </c>
      <c r="G527" t="str" cm="1">
        <f t="array" ref="G527">_xlfn.IFS(
  ISNUMBER(SEARCH("Core", C527)), "Core Platform",
  ISNUMBER(SEARCH("Analytics", C527)), "Analytics",
  ISNUMBER(SEARCH("Automation", C527)), "Automation"
)</f>
        <v>Core Platform</v>
      </c>
    </row>
    <row r="528" spans="1:7" x14ac:dyDescent="0.35">
      <c r="A528" t="s">
        <v>72</v>
      </c>
      <c r="B528" t="s">
        <v>73</v>
      </c>
      <c r="C528" t="s">
        <v>16</v>
      </c>
      <c r="D528" s="1">
        <v>45992</v>
      </c>
      <c r="E528" s="3">
        <v>117000</v>
      </c>
      <c r="F528" t="str">
        <f>+TRIM(B528)</f>
        <v>Northwind Trading</v>
      </c>
      <c r="G528" t="str" cm="1">
        <f t="array" ref="G528">_xlfn.IFS(
  ISNUMBER(SEARCH("Core", C528)), "Core Platform",
  ISNUMBER(SEARCH("Analytics", C528)), "Analytics",
  ISNUMBER(SEARCH("Automation", C528)), "Automation"
)</f>
        <v>Core Platform</v>
      </c>
    </row>
    <row r="529" spans="1:7" x14ac:dyDescent="0.35">
      <c r="A529" t="s">
        <v>53</v>
      </c>
      <c r="B529" t="s">
        <v>54</v>
      </c>
      <c r="C529" t="s">
        <v>10</v>
      </c>
      <c r="D529" s="1">
        <v>45809</v>
      </c>
      <c r="E529" s="3">
        <v>35000</v>
      </c>
      <c r="F529" t="str">
        <f>+TRIM(B529)</f>
        <v>Maple Grove Maintenance</v>
      </c>
      <c r="G529" t="str" cm="1">
        <f t="array" ref="G529">_xlfn.IFS(
  ISNUMBER(SEARCH("Core", C529)), "Core Platform",
  ISNUMBER(SEARCH("Analytics", C529)), "Analytics",
  ISNUMBER(SEARCH("Automation", C529)), "Automation"
)</f>
        <v>Analytics</v>
      </c>
    </row>
    <row r="530" spans="1:7" x14ac:dyDescent="0.35">
      <c r="A530" t="s">
        <v>41</v>
      </c>
      <c r="B530" t="s">
        <v>42</v>
      </c>
      <c r="C530" t="s">
        <v>21</v>
      </c>
      <c r="D530" s="1">
        <v>45931</v>
      </c>
      <c r="E530" s="3">
        <v>22000</v>
      </c>
      <c r="F530" t="str">
        <f>+TRIM(B530)</f>
        <v>Delta Refrigeration</v>
      </c>
      <c r="G530" t="str" cm="1">
        <f t="array" ref="G530">_xlfn.IFS(
  ISNUMBER(SEARCH("Core", C530)), "Core Platform",
  ISNUMBER(SEARCH("Analytics", C530)), "Analytics",
  ISNUMBER(SEARCH("Automation", C530)), "Automation"
)</f>
        <v>Automation</v>
      </c>
    </row>
    <row r="531" spans="1:7" x14ac:dyDescent="0.35">
      <c r="A531" t="s">
        <v>48</v>
      </c>
      <c r="B531" t="s">
        <v>49</v>
      </c>
      <c r="C531" t="s">
        <v>21</v>
      </c>
      <c r="D531" s="1">
        <v>45962</v>
      </c>
      <c r="E531" s="3">
        <v>11000</v>
      </c>
      <c r="F531" t="str">
        <f>+TRIM(B531)</f>
        <v>Lakeside Energy</v>
      </c>
      <c r="G531" t="str" cm="1">
        <f t="array" ref="G531">_xlfn.IFS(
  ISNUMBER(SEARCH("Core", C531)), "Core Platform",
  ISNUMBER(SEARCH("Analytics", C531)), "Analytics",
  ISNUMBER(SEARCH("Automation", C531)), "Automation"
)</f>
        <v>Automation</v>
      </c>
    </row>
    <row r="532" spans="1:7" x14ac:dyDescent="0.35">
      <c r="A532" t="s">
        <v>17</v>
      </c>
      <c r="B532" t="s">
        <v>18</v>
      </c>
      <c r="C532" t="s">
        <v>65</v>
      </c>
      <c r="D532" s="1">
        <v>45748</v>
      </c>
      <c r="E532" s="3">
        <v>29000</v>
      </c>
      <c r="F532" t="str">
        <f>+TRIM(B532)</f>
        <v>Ironclad Security</v>
      </c>
      <c r="G532" t="str" cm="1">
        <f t="array" ref="G532">_xlfn.IFS(
  ISNUMBER(SEARCH("Core", C532)), "Core Platform",
  ISNUMBER(SEARCH("Analytics", C532)), "Analytics",
  ISNUMBER(SEARCH("Automation", C532)), "Automation"
)</f>
        <v>Analytics</v>
      </c>
    </row>
    <row r="533" spans="1:7" x14ac:dyDescent="0.35">
      <c r="A533" t="s">
        <v>11</v>
      </c>
      <c r="B533" t="s">
        <v>59</v>
      </c>
      <c r="C533" t="s">
        <v>21</v>
      </c>
      <c r="D533" s="1">
        <v>45748</v>
      </c>
      <c r="E533" s="3">
        <v>27000</v>
      </c>
      <c r="F533" t="str">
        <f>+TRIM(B533)</f>
        <v>Pinecrest Property</v>
      </c>
      <c r="G533" t="str" cm="1">
        <f t="array" ref="G533">_xlfn.IFS(
  ISNUMBER(SEARCH("Core", C533)), "Core Platform",
  ISNUMBER(SEARCH("Analytics", C533)), "Analytics",
  ISNUMBER(SEARCH("Automation", C533)), "Automation"
)</f>
        <v>Automation</v>
      </c>
    </row>
    <row r="534" spans="1:7" x14ac:dyDescent="0.35">
      <c r="A534" t="s">
        <v>17</v>
      </c>
      <c r="B534" t="s">
        <v>18</v>
      </c>
      <c r="C534" t="s">
        <v>28</v>
      </c>
      <c r="D534" s="1">
        <v>45870</v>
      </c>
      <c r="E534" s="3">
        <v>90000</v>
      </c>
      <c r="F534" t="str">
        <f>+TRIM(B534)</f>
        <v>Ironclad Security</v>
      </c>
      <c r="G534" t="str" cm="1">
        <f t="array" ref="G534">_xlfn.IFS(
  ISNUMBER(SEARCH("Core", C534)), "Core Platform",
  ISNUMBER(SEARCH("Analytics", C534)), "Analytics",
  ISNUMBER(SEARCH("Automation", C534)), "Automation"
)</f>
        <v>Core Platform</v>
      </c>
    </row>
    <row r="535" spans="1:7" x14ac:dyDescent="0.35">
      <c r="A535" t="s">
        <v>66</v>
      </c>
      <c r="B535" t="s">
        <v>67</v>
      </c>
      <c r="C535" t="s">
        <v>21</v>
      </c>
      <c r="D535" s="1">
        <v>45901</v>
      </c>
      <c r="E535" s="3">
        <v>19000</v>
      </c>
      <c r="F535" t="str">
        <f>+TRIM(B535)</f>
        <v>Beacon Environmental</v>
      </c>
      <c r="G535" t="str" cm="1">
        <f t="array" ref="G535">_xlfn.IFS(
  ISNUMBER(SEARCH("Core", C535)), "Core Platform",
  ISNUMBER(SEARCH("Analytics", C535)), "Analytics",
  ISNUMBER(SEARCH("Automation", C535)), "Automation"
)</f>
        <v>Automation</v>
      </c>
    </row>
    <row r="536" spans="1:7" x14ac:dyDescent="0.35">
      <c r="A536" t="s">
        <v>8</v>
      </c>
      <c r="B536" t="s">
        <v>115</v>
      </c>
      <c r="C536" t="s">
        <v>16</v>
      </c>
      <c r="D536" s="1">
        <v>45839</v>
      </c>
      <c r="E536" s="3">
        <v>70000</v>
      </c>
      <c r="F536" t="str">
        <f>+TRIM(B536)</f>
        <v>Cobalt Networks</v>
      </c>
      <c r="G536" t="str" cm="1">
        <f t="array" ref="G536">_xlfn.IFS(
  ISNUMBER(SEARCH("Core", C536)), "Core Platform",
  ISNUMBER(SEARCH("Analytics", C536)), "Analytics",
  ISNUMBER(SEARCH("Automation", C536)), "Automation"
)</f>
        <v>Core Platform</v>
      </c>
    </row>
    <row r="537" spans="1:7" x14ac:dyDescent="0.35">
      <c r="A537" t="s">
        <v>11</v>
      </c>
      <c r="B537" t="s">
        <v>59</v>
      </c>
      <c r="C537" t="s">
        <v>10</v>
      </c>
      <c r="D537" s="1">
        <v>45870</v>
      </c>
      <c r="E537" s="3">
        <v>39000</v>
      </c>
      <c r="F537" t="str">
        <f>+TRIM(B537)</f>
        <v>Pinecrest Property</v>
      </c>
      <c r="G537" t="str" cm="1">
        <f t="array" ref="G537">_xlfn.IFS(
  ISNUMBER(SEARCH("Core", C537)), "Core Platform",
  ISNUMBER(SEARCH("Analytics", C537)), "Analytics",
  ISNUMBER(SEARCH("Automation", C537)), "Automation"
)</f>
        <v>Analytics</v>
      </c>
    </row>
    <row r="538" spans="1:7" x14ac:dyDescent="0.35">
      <c r="A538" t="s">
        <v>53</v>
      </c>
      <c r="B538" t="s">
        <v>54</v>
      </c>
      <c r="C538" t="s">
        <v>28</v>
      </c>
      <c r="D538" s="1">
        <v>45839</v>
      </c>
      <c r="E538" s="3">
        <v>73000</v>
      </c>
      <c r="F538" t="str">
        <f>+TRIM(B538)</f>
        <v>Maple Grove Maintenance</v>
      </c>
      <c r="G538" t="str" cm="1">
        <f t="array" ref="G538">_xlfn.IFS(
  ISNUMBER(SEARCH("Core", C538)), "Core Platform",
  ISNUMBER(SEARCH("Analytics", C538)), "Analytics",
  ISNUMBER(SEARCH("Automation", C538)), "Automation"
)</f>
        <v>Core Platform</v>
      </c>
    </row>
    <row r="539" spans="1:7" x14ac:dyDescent="0.35">
      <c r="A539" t="s">
        <v>5</v>
      </c>
      <c r="B539" t="s">
        <v>6</v>
      </c>
      <c r="C539" t="s">
        <v>21</v>
      </c>
      <c r="D539" s="1">
        <v>45962</v>
      </c>
      <c r="E539" s="3">
        <v>19000</v>
      </c>
      <c r="F539" t="str">
        <f>+TRIM(B539)</f>
        <v>Meridian Water Group</v>
      </c>
      <c r="G539" t="str" cm="1">
        <f t="array" ref="G539">_xlfn.IFS(
  ISNUMBER(SEARCH("Core", C539)), "Core Platform",
  ISNUMBER(SEARCH("Analytics", C539)), "Analytics",
  ISNUMBER(SEARCH("Automation", C539)), "Automation"
)</f>
        <v>Automation</v>
      </c>
    </row>
    <row r="540" spans="1:7" x14ac:dyDescent="0.35">
      <c r="A540" t="s">
        <v>53</v>
      </c>
      <c r="B540" t="s">
        <v>54</v>
      </c>
      <c r="C540" t="s">
        <v>28</v>
      </c>
      <c r="D540" s="1">
        <v>45931</v>
      </c>
      <c r="E540" s="3">
        <v>73000</v>
      </c>
      <c r="F540" t="str">
        <f>+TRIM(B540)</f>
        <v>Maple Grove Maintenance</v>
      </c>
      <c r="G540" t="str" cm="1">
        <f t="array" ref="G540">_xlfn.IFS(
  ISNUMBER(SEARCH("Core", C540)), "Core Platform",
  ISNUMBER(SEARCH("Analytics", C540)), "Analytics",
  ISNUMBER(SEARCH("Automation", C540)), "Automation"
)</f>
        <v>Core Platform</v>
      </c>
    </row>
    <row r="541" spans="1:7" x14ac:dyDescent="0.35">
      <c r="A541" t="s">
        <v>26</v>
      </c>
      <c r="B541" t="s">
        <v>27</v>
      </c>
      <c r="C541" t="s">
        <v>28</v>
      </c>
      <c r="D541" s="1">
        <v>45689</v>
      </c>
      <c r="E541" s="3">
        <v>58000</v>
      </c>
      <c r="F541" t="str">
        <f>+TRIM(B541)</f>
        <v>Blue Harbor Logistics</v>
      </c>
      <c r="G541" t="str" cm="1">
        <f t="array" ref="G541">_xlfn.IFS(
  ISNUMBER(SEARCH("Core", C541)), "Core Platform",
  ISNUMBER(SEARCH("Analytics", C541)), "Analytics",
  ISNUMBER(SEARCH("Automation", C541)), "Automation"
)</f>
        <v>Core Platform</v>
      </c>
    </row>
    <row r="542" spans="1:7" x14ac:dyDescent="0.35">
      <c r="A542" t="s">
        <v>72</v>
      </c>
      <c r="B542" t="s">
        <v>73</v>
      </c>
      <c r="C542" t="s">
        <v>10</v>
      </c>
      <c r="D542" s="1">
        <v>45962</v>
      </c>
      <c r="E542" s="3">
        <v>33000</v>
      </c>
      <c r="F542" t="str">
        <f>+TRIM(B542)</f>
        <v>Northwind Trading</v>
      </c>
      <c r="G542" t="str" cm="1">
        <f t="array" ref="G542">_xlfn.IFS(
  ISNUMBER(SEARCH("Core", C542)), "Core Platform",
  ISNUMBER(SEARCH("Analytics", C542)), "Analytics",
  ISNUMBER(SEARCH("Automation", C542)), "Automation"
)</f>
        <v>Analytics</v>
      </c>
    </row>
    <row r="543" spans="1:7" x14ac:dyDescent="0.35">
      <c r="A543" t="s">
        <v>66</v>
      </c>
      <c r="B543" t="s">
        <v>67</v>
      </c>
      <c r="C543" t="s">
        <v>28</v>
      </c>
      <c r="D543" s="1">
        <v>45992</v>
      </c>
      <c r="E543" s="3">
        <v>95000</v>
      </c>
      <c r="F543" t="str">
        <f>+TRIM(B543)</f>
        <v>Beacon Environmental</v>
      </c>
      <c r="G543" t="str" cm="1">
        <f t="array" ref="G543">_xlfn.IFS(
  ISNUMBER(SEARCH("Core", C543)), "Core Platform",
  ISNUMBER(SEARCH("Analytics", C543)), "Analytics",
  ISNUMBER(SEARCH("Automation", C543)), "Automation"
)</f>
        <v>Core Platform</v>
      </c>
    </row>
    <row r="544" spans="1:7" x14ac:dyDescent="0.35">
      <c r="A544" t="s">
        <v>19</v>
      </c>
      <c r="B544" t="s">
        <v>20</v>
      </c>
      <c r="C544" t="s">
        <v>10</v>
      </c>
      <c r="D544" s="1">
        <v>45962</v>
      </c>
      <c r="E544" s="3">
        <v>30000</v>
      </c>
      <c r="F544" t="str">
        <f>+TRIM(B544)</f>
        <v>Granite State Mechanical</v>
      </c>
      <c r="G544" t="str" cm="1">
        <f t="array" ref="G544">_xlfn.IFS(
  ISNUMBER(SEARCH("Core", C544)), "Core Platform",
  ISNUMBER(SEARCH("Analytics", C544)), "Analytics",
  ISNUMBER(SEARCH("Automation", C544)), "Automation"
)</f>
        <v>Analytics</v>
      </c>
    </row>
    <row r="545" spans="1:7" x14ac:dyDescent="0.35">
      <c r="A545" t="s">
        <v>11</v>
      </c>
      <c r="B545" t="s">
        <v>59</v>
      </c>
      <c r="C545" t="s">
        <v>16</v>
      </c>
      <c r="D545" s="1">
        <v>45992</v>
      </c>
      <c r="E545" s="3">
        <v>118000</v>
      </c>
      <c r="F545" t="str">
        <f>+TRIM(B545)</f>
        <v>Pinecrest Property</v>
      </c>
      <c r="G545" t="str" cm="1">
        <f t="array" ref="G545">_xlfn.IFS(
  ISNUMBER(SEARCH("Core", C545)), "Core Platform",
  ISNUMBER(SEARCH("Analytics", C545)), "Analytics",
  ISNUMBER(SEARCH("Automation", C545)), "Automation"
)</f>
        <v>Core Platform</v>
      </c>
    </row>
    <row r="546" spans="1:7" x14ac:dyDescent="0.35">
      <c r="A546" t="s">
        <v>19</v>
      </c>
      <c r="B546" t="s">
        <v>20</v>
      </c>
      <c r="C546" t="s">
        <v>10</v>
      </c>
      <c r="D546" s="1">
        <v>45870</v>
      </c>
      <c r="E546" s="3">
        <v>30000</v>
      </c>
      <c r="F546" t="str">
        <f>+TRIM(B546)</f>
        <v>Granite State Mechanical</v>
      </c>
      <c r="G546" t="str" cm="1">
        <f t="array" ref="G546">_xlfn.IFS(
  ISNUMBER(SEARCH("Core", C546)), "Core Platform",
  ISNUMBER(SEARCH("Analytics", C546)), "Analytics",
  ISNUMBER(SEARCH("Automation", C546)), "Automation"
)</f>
        <v>Analytics</v>
      </c>
    </row>
    <row r="547" spans="1:7" x14ac:dyDescent="0.35">
      <c r="A547" t="s">
        <v>60</v>
      </c>
      <c r="B547" t="s">
        <v>61</v>
      </c>
      <c r="C547" t="s">
        <v>10</v>
      </c>
      <c r="D547" s="1">
        <v>45931</v>
      </c>
      <c r="E547" s="3">
        <v>23000</v>
      </c>
      <c r="F547" t="str">
        <f>+TRIM(B547)</f>
        <v>Redwood Field Services</v>
      </c>
      <c r="G547" t="str" cm="1">
        <f t="array" ref="G547">_xlfn.IFS(
  ISNUMBER(SEARCH("Core", C547)), "Core Platform",
  ISNUMBER(SEARCH("Analytics", C547)), "Analytics",
  ISNUMBER(SEARCH("Automation", C547)), "Automation"
)</f>
        <v>Analytics</v>
      </c>
    </row>
    <row r="548" spans="1:7" x14ac:dyDescent="0.35">
      <c r="A548" t="s">
        <v>24</v>
      </c>
      <c r="B548" t="s">
        <v>45</v>
      </c>
      <c r="C548" t="s">
        <v>16</v>
      </c>
      <c r="D548" s="1">
        <v>45658</v>
      </c>
      <c r="E548" s="3">
        <v>100000</v>
      </c>
      <c r="F548" t="str">
        <f>+TRIM(B548)</f>
        <v>Kestrel Telecom</v>
      </c>
      <c r="G548" t="str" cm="1">
        <f t="array" ref="G548">_xlfn.IFS(
  ISNUMBER(SEARCH("Core", C548)), "Core Platform",
  ISNUMBER(SEARCH("Analytics", C548)), "Analytics",
  ISNUMBER(SEARCH("Automation", C548)), "Automation"
)</f>
        <v>Core Platform</v>
      </c>
    </row>
    <row r="549" spans="1:7" x14ac:dyDescent="0.35">
      <c r="A549" t="s">
        <v>74</v>
      </c>
      <c r="B549" t="s">
        <v>75</v>
      </c>
      <c r="C549" t="s">
        <v>28</v>
      </c>
      <c r="D549" s="1">
        <v>45931</v>
      </c>
      <c r="E549" s="3">
        <v>155000</v>
      </c>
      <c r="F549" t="str">
        <f>+TRIM(B549)</f>
        <v>Sterling Facilities</v>
      </c>
      <c r="G549" t="str" cm="1">
        <f t="array" ref="G549">_xlfn.IFS(
  ISNUMBER(SEARCH("Core", C549)), "Core Platform",
  ISNUMBER(SEARCH("Analytics", C549)), "Analytics",
  ISNUMBER(SEARCH("Automation", C549)), "Automation"
)</f>
        <v>Core Platform</v>
      </c>
    </row>
    <row r="550" spans="1:7" x14ac:dyDescent="0.35">
      <c r="A550" t="s">
        <v>72</v>
      </c>
      <c r="B550" t="s">
        <v>73</v>
      </c>
      <c r="C550" t="s">
        <v>10</v>
      </c>
      <c r="D550" s="1">
        <v>45689</v>
      </c>
      <c r="E550" s="3">
        <v>27000</v>
      </c>
      <c r="F550" t="str">
        <f>+TRIM(B550)</f>
        <v>Northwind Trading</v>
      </c>
      <c r="G550" t="str" cm="1">
        <f t="array" ref="G550">_xlfn.IFS(
  ISNUMBER(SEARCH("Core", C550)), "Core Platform",
  ISNUMBER(SEARCH("Analytics", C550)), "Analytics",
  ISNUMBER(SEARCH("Automation", C550)), "Automation"
)</f>
        <v>Analytics</v>
      </c>
    </row>
    <row r="551" spans="1:7" x14ac:dyDescent="0.35">
      <c r="A551" t="s">
        <v>60</v>
      </c>
      <c r="B551" t="s">
        <v>61</v>
      </c>
      <c r="C551" t="s">
        <v>10</v>
      </c>
      <c r="D551" s="1">
        <v>45689</v>
      </c>
      <c r="E551" s="3">
        <v>23000</v>
      </c>
      <c r="F551" t="str">
        <f>+TRIM(B551)</f>
        <v>Redwood Field Services</v>
      </c>
      <c r="G551" t="str" cm="1">
        <f t="array" ref="G551">_xlfn.IFS(
  ISNUMBER(SEARCH("Core", C551)), "Core Platform",
  ISNUMBER(SEARCH("Analytics", C551)), "Analytics",
  ISNUMBER(SEARCH("Automation", C551)), "Automation"
)</f>
        <v>Analytics</v>
      </c>
    </row>
    <row r="552" spans="1:7" x14ac:dyDescent="0.35">
      <c r="A552" t="s">
        <v>57</v>
      </c>
      <c r="B552" t="s">
        <v>58</v>
      </c>
      <c r="C552" t="s">
        <v>10</v>
      </c>
      <c r="D552" s="1">
        <v>45931</v>
      </c>
      <c r="E552" s="3">
        <v>18000</v>
      </c>
      <c r="F552" t="str">
        <f>+TRIM(B552)</f>
        <v>Everest Drilling</v>
      </c>
      <c r="G552" t="str" cm="1">
        <f t="array" ref="G552">_xlfn.IFS(
  ISNUMBER(SEARCH("Core", C552)), "Core Platform",
  ISNUMBER(SEARCH("Analytics", C552)), "Analytics",
  ISNUMBER(SEARCH("Automation", C552)), "Automation"
)</f>
        <v>Analytics</v>
      </c>
    </row>
    <row r="553" spans="1:7" x14ac:dyDescent="0.35">
      <c r="A553" t="s">
        <v>8</v>
      </c>
      <c r="B553" t="s">
        <v>9</v>
      </c>
      <c r="C553" t="s">
        <v>28</v>
      </c>
      <c r="D553" s="1">
        <v>45962</v>
      </c>
      <c r="E553" s="3">
        <v>70000</v>
      </c>
      <c r="F553" t="str">
        <f>+TRIM(B553)</f>
        <v>Cobalt Networks</v>
      </c>
      <c r="G553" t="str" cm="1">
        <f t="array" ref="G553">_xlfn.IFS(
  ISNUMBER(SEARCH("Core", C553)), "Core Platform",
  ISNUMBER(SEARCH("Analytics", C553)), "Analytics",
  ISNUMBER(SEARCH("Automation", C553)), "Automation"
)</f>
        <v>Core Platform</v>
      </c>
    </row>
    <row r="554" spans="1:7" x14ac:dyDescent="0.35">
      <c r="A554" t="s">
        <v>39</v>
      </c>
      <c r="B554" t="s">
        <v>40</v>
      </c>
      <c r="C554" t="s">
        <v>21</v>
      </c>
      <c r="D554" s="1">
        <v>45992</v>
      </c>
      <c r="E554" s="3">
        <v>19000</v>
      </c>
      <c r="F554" t="str">
        <f>+TRIM(B554)</f>
        <v>Foundry Industrial</v>
      </c>
      <c r="G554" t="str" cm="1">
        <f t="array" ref="G554">_xlfn.IFS(
  ISNUMBER(SEARCH("Core", C554)), "Core Platform",
  ISNUMBER(SEARCH("Analytics", C554)), "Analytics",
  ISNUMBER(SEARCH("Automation", C554)), "Automation"
)</f>
        <v>Automation</v>
      </c>
    </row>
    <row r="555" spans="1:7" x14ac:dyDescent="0.35">
      <c r="A555" t="s">
        <v>37</v>
      </c>
      <c r="B555" t="s">
        <v>38</v>
      </c>
      <c r="C555" t="s">
        <v>65</v>
      </c>
      <c r="D555" s="1">
        <v>45931</v>
      </c>
      <c r="E555" s="3">
        <v>19000</v>
      </c>
      <c r="F555" t="str">
        <f>+TRIM(B555)</f>
        <v>Fairwind Marine</v>
      </c>
      <c r="G555" t="str" cm="1">
        <f t="array" ref="G555">_xlfn.IFS(
  ISNUMBER(SEARCH("Core", C555)), "Core Platform",
  ISNUMBER(SEARCH("Analytics", C555)), "Analytics",
  ISNUMBER(SEARCH("Automation", C555)), "Automation"
)</f>
        <v>Analytics</v>
      </c>
    </row>
    <row r="556" spans="1:7" x14ac:dyDescent="0.35">
      <c r="A556" t="s">
        <v>29</v>
      </c>
      <c r="B556" t="s">
        <v>46</v>
      </c>
      <c r="C556" t="s">
        <v>10</v>
      </c>
      <c r="D556" s="1">
        <v>45901</v>
      </c>
      <c r="E556" s="3">
        <v>36000</v>
      </c>
      <c r="F556" t="str">
        <f>+TRIM(B556)</f>
        <v>Atlas Elevator Co</v>
      </c>
      <c r="G556" t="str" cm="1">
        <f t="array" ref="G556">_xlfn.IFS(
  ISNUMBER(SEARCH("Core", C556)), "Core Platform",
  ISNUMBER(SEARCH("Analytics", C556)), "Analytics",
  ISNUMBER(SEARCH("Automation", C556)), "Automation"
)</f>
        <v>Analytics</v>
      </c>
    </row>
    <row r="557" spans="1:7" x14ac:dyDescent="0.35">
      <c r="A557" t="s">
        <v>55</v>
      </c>
      <c r="B557" t="s">
        <v>56</v>
      </c>
      <c r="C557" t="s">
        <v>16</v>
      </c>
      <c r="D557" s="1">
        <v>45992</v>
      </c>
      <c r="E557" s="3">
        <v>87000</v>
      </c>
      <c r="F557" t="str">
        <f>+TRIM(B557)</f>
        <v>Quartz Data Centers</v>
      </c>
      <c r="G557" t="str" cm="1">
        <f t="array" ref="G557">_xlfn.IFS(
  ISNUMBER(SEARCH("Core", C557)), "Core Platform",
  ISNUMBER(SEARCH("Analytics", C557)), "Analytics",
  ISNUMBER(SEARCH("Automation", C557)), "Automation"
)</f>
        <v>Core Platform</v>
      </c>
    </row>
    <row r="558" spans="1:7" x14ac:dyDescent="0.35">
      <c r="A558" t="s">
        <v>72</v>
      </c>
      <c r="B558" t="s">
        <v>73</v>
      </c>
      <c r="C558" t="s">
        <v>10</v>
      </c>
      <c r="D558" s="1">
        <v>45992</v>
      </c>
      <c r="E558" s="3">
        <v>33000</v>
      </c>
      <c r="F558" t="str">
        <f>+TRIM(B558)</f>
        <v>Northwind Trading</v>
      </c>
      <c r="G558" t="str" cm="1">
        <f t="array" ref="G558">_xlfn.IFS(
  ISNUMBER(SEARCH("Core", C558)), "Core Platform",
  ISNUMBER(SEARCH("Analytics", C558)), "Analytics",
  ISNUMBER(SEARCH("Automation", C558)), "Automation"
)</f>
        <v>Analytics</v>
      </c>
    </row>
    <row r="559" spans="1:7" x14ac:dyDescent="0.35">
      <c r="A559" t="s">
        <v>24</v>
      </c>
      <c r="B559" t="s">
        <v>45</v>
      </c>
      <c r="C559" t="s">
        <v>16</v>
      </c>
      <c r="D559" s="1">
        <v>45839</v>
      </c>
      <c r="E559" s="3">
        <v>100000</v>
      </c>
      <c r="F559" t="str">
        <f>+TRIM(B559)</f>
        <v>Kestrel Telecom</v>
      </c>
      <c r="G559" t="str" cm="1">
        <f t="array" ref="G559">_xlfn.IFS(
  ISNUMBER(SEARCH("Core", C559)), "Core Platform",
  ISNUMBER(SEARCH("Analytics", C559)), "Analytics",
  ISNUMBER(SEARCH("Automation", C559)), "Automation"
)</f>
        <v>Core Platform</v>
      </c>
    </row>
    <row r="560" spans="1:7" x14ac:dyDescent="0.35">
      <c r="A560" t="s">
        <v>39</v>
      </c>
      <c r="B560" t="s">
        <v>40</v>
      </c>
      <c r="C560" t="s">
        <v>16</v>
      </c>
      <c r="D560" s="1">
        <v>45658</v>
      </c>
      <c r="E560" s="3">
        <v>60000</v>
      </c>
      <c r="F560" t="str">
        <f>+TRIM(B560)</f>
        <v>Foundry Industrial</v>
      </c>
      <c r="G560" t="str" cm="1">
        <f t="array" ref="G560">_xlfn.IFS(
  ISNUMBER(SEARCH("Core", C560)), "Core Platform",
  ISNUMBER(SEARCH("Analytics", C560)), "Analytics",
  ISNUMBER(SEARCH("Automation", C560)), "Automation"
)</f>
        <v>Core Platform</v>
      </c>
    </row>
    <row r="561" spans="1:7" x14ac:dyDescent="0.35">
      <c r="A561" t="s">
        <v>43</v>
      </c>
      <c r="B561" t="s">
        <v>44</v>
      </c>
      <c r="C561" t="s">
        <v>10</v>
      </c>
      <c r="D561" s="1">
        <v>45931</v>
      </c>
      <c r="E561" s="3">
        <v>22000</v>
      </c>
      <c r="F561" t="str">
        <f>+TRIM(B561)</f>
        <v>Harborview Plumbing</v>
      </c>
      <c r="G561" t="str" cm="1">
        <f t="array" ref="G561">_xlfn.IFS(
  ISNUMBER(SEARCH("Core", C561)), "Core Platform",
  ISNUMBER(SEARCH("Analytics", C561)), "Analytics",
  ISNUMBER(SEARCH("Automation", C561)), "Automation"
)</f>
        <v>Analytics</v>
      </c>
    </row>
    <row r="562" spans="1:7" x14ac:dyDescent="0.35">
      <c r="A562" t="s">
        <v>53</v>
      </c>
      <c r="B562" t="s">
        <v>54</v>
      </c>
      <c r="C562" t="s">
        <v>10</v>
      </c>
      <c r="D562" s="1">
        <v>45717</v>
      </c>
      <c r="E562" s="3">
        <v>35000</v>
      </c>
      <c r="F562" t="str">
        <f>+TRIM(B562)</f>
        <v>Maple Grove Maintenance</v>
      </c>
      <c r="G562" t="str" cm="1">
        <f t="array" ref="G562">_xlfn.IFS(
  ISNUMBER(SEARCH("Core", C562)), "Core Platform",
  ISNUMBER(SEARCH("Analytics", C562)), "Analytics",
  ISNUMBER(SEARCH("Automation", C562)), "Automation"
)</f>
        <v>Analytics</v>
      </c>
    </row>
    <row r="563" spans="1:7" x14ac:dyDescent="0.35">
      <c r="A563" t="s">
        <v>5</v>
      </c>
      <c r="B563" t="s">
        <v>6</v>
      </c>
      <c r="C563" t="s">
        <v>16</v>
      </c>
      <c r="D563" s="1">
        <v>45627</v>
      </c>
      <c r="E563" s="3">
        <v>85000</v>
      </c>
      <c r="F563" t="str">
        <f>+TRIM(B563)</f>
        <v>Meridian Water Group</v>
      </c>
      <c r="G563" t="str" cm="1">
        <f t="array" ref="G563">_xlfn.IFS(
  ISNUMBER(SEARCH("Core", C563)), "Core Platform",
  ISNUMBER(SEARCH("Analytics", C563)), "Analytics",
  ISNUMBER(SEARCH("Automation", C563)), "Automation"
)</f>
        <v>Core Platform</v>
      </c>
    </row>
    <row r="564" spans="1:7" x14ac:dyDescent="0.35">
      <c r="A564" t="s">
        <v>19</v>
      </c>
      <c r="B564" t="s">
        <v>20</v>
      </c>
      <c r="C564" t="s">
        <v>10</v>
      </c>
      <c r="D564" s="1">
        <v>45717</v>
      </c>
      <c r="E564" s="3">
        <v>30000</v>
      </c>
      <c r="F564" t="str">
        <f>+TRIM(B564)</f>
        <v>Granite State Mechanical</v>
      </c>
      <c r="G564" t="str" cm="1">
        <f t="array" ref="G564">_xlfn.IFS(
  ISNUMBER(SEARCH("Core", C564)), "Core Platform",
  ISNUMBER(SEARCH("Analytics", C564)), "Analytics",
  ISNUMBER(SEARCH("Automation", C564)), "Automation"
)</f>
        <v>Analytics</v>
      </c>
    </row>
    <row r="565" spans="1:7" x14ac:dyDescent="0.35">
      <c r="A565" t="s">
        <v>57</v>
      </c>
      <c r="B565" t="s">
        <v>58</v>
      </c>
      <c r="C565" t="s">
        <v>21</v>
      </c>
      <c r="D565" s="1">
        <v>45901</v>
      </c>
      <c r="E565" s="3">
        <v>20000</v>
      </c>
      <c r="F565" t="str">
        <f>+TRIM(B565)</f>
        <v>Everest Drilling</v>
      </c>
      <c r="G565" t="str" cm="1">
        <f t="array" ref="G565">_xlfn.IFS(
  ISNUMBER(SEARCH("Core", C565)), "Core Platform",
  ISNUMBER(SEARCH("Analytics", C565)), "Analytics",
  ISNUMBER(SEARCH("Automation", C565)), "Automation"
)</f>
        <v>Automation</v>
      </c>
    </row>
    <row r="566" spans="1:7" x14ac:dyDescent="0.35">
      <c r="A566" t="s">
        <v>24</v>
      </c>
      <c r="B566" t="s">
        <v>25</v>
      </c>
      <c r="C566" t="s">
        <v>28</v>
      </c>
      <c r="D566" s="1">
        <v>45870</v>
      </c>
      <c r="E566" s="3">
        <v>100000</v>
      </c>
      <c r="F566" t="str">
        <f>+TRIM(B566)</f>
        <v>Kestrel Telecom</v>
      </c>
      <c r="G566" t="str" cm="1">
        <f t="array" ref="G566">_xlfn.IFS(
  ISNUMBER(SEARCH("Core", C566)), "Core Platform",
  ISNUMBER(SEARCH("Analytics", C566)), "Analytics",
  ISNUMBER(SEARCH("Automation", C566)), "Automation"
)</f>
        <v>Core Platform</v>
      </c>
    </row>
    <row r="567" spans="1:7" x14ac:dyDescent="0.35">
      <c r="A567" t="s">
        <v>5</v>
      </c>
      <c r="B567" t="s">
        <v>6</v>
      </c>
      <c r="C567" t="s">
        <v>28</v>
      </c>
      <c r="D567" s="1">
        <v>45748</v>
      </c>
      <c r="E567" s="3">
        <v>85000</v>
      </c>
      <c r="F567" t="str">
        <f>+TRIM(B567)</f>
        <v>Meridian Water Group</v>
      </c>
      <c r="G567" t="str" cm="1">
        <f t="array" ref="G567">_xlfn.IFS(
  ISNUMBER(SEARCH("Core", C567)), "Core Platform",
  ISNUMBER(SEARCH("Analytics", C567)), "Analytics",
  ISNUMBER(SEARCH("Automation", C567)), "Automation"
)</f>
        <v>Core Platform</v>
      </c>
    </row>
    <row r="568" spans="1:7" x14ac:dyDescent="0.35">
      <c r="A568" t="s">
        <v>33</v>
      </c>
      <c r="B568" t="s">
        <v>34</v>
      </c>
      <c r="C568" t="s">
        <v>10</v>
      </c>
      <c r="D568" s="1">
        <v>45870</v>
      </c>
      <c r="E568" s="3">
        <v>17000</v>
      </c>
      <c r="F568" t="str">
        <f>+TRIM(B568)</f>
        <v>Sandstone Roofing</v>
      </c>
      <c r="G568" t="str" cm="1">
        <f t="array" ref="G568">_xlfn.IFS(
  ISNUMBER(SEARCH("Core", C568)), "Core Platform",
  ISNUMBER(SEARCH("Analytics", C568)), "Analytics",
  ISNUMBER(SEARCH("Automation", C568)), "Automation"
)</f>
        <v>Analytics</v>
      </c>
    </row>
    <row r="569" spans="1:7" x14ac:dyDescent="0.35">
      <c r="A569" t="s">
        <v>66</v>
      </c>
      <c r="B569" t="s">
        <v>67</v>
      </c>
      <c r="C569" t="s">
        <v>65</v>
      </c>
      <c r="D569" s="1">
        <v>45901</v>
      </c>
      <c r="E569" s="3">
        <v>19000</v>
      </c>
      <c r="F569" t="str">
        <f>+TRIM(B569)</f>
        <v>Beacon Environmental</v>
      </c>
      <c r="G569" t="str" cm="1">
        <f t="array" ref="G569">_xlfn.IFS(
  ISNUMBER(SEARCH("Core", C569)), "Core Platform",
  ISNUMBER(SEARCH("Analytics", C569)), "Analytics",
  ISNUMBER(SEARCH("Automation", C569)), "Automation"
)</f>
        <v>Analytics</v>
      </c>
    </row>
    <row r="570" spans="1:7" x14ac:dyDescent="0.35">
      <c r="A570" t="s">
        <v>8</v>
      </c>
      <c r="B570" t="s">
        <v>9</v>
      </c>
      <c r="C570" t="s">
        <v>13</v>
      </c>
      <c r="D570" s="1">
        <v>45962</v>
      </c>
      <c r="E570" s="3">
        <v>17000</v>
      </c>
      <c r="F570" t="str">
        <f>+TRIM(B570)</f>
        <v>Cobalt Networks</v>
      </c>
      <c r="G570" t="str" cm="1">
        <f t="array" ref="G570">_xlfn.IFS(
  ISNUMBER(SEARCH("Core", C570)), "Core Platform",
  ISNUMBER(SEARCH("Analytics", C570)), "Analytics",
  ISNUMBER(SEARCH("Automation", C570)), "Automation"
)</f>
        <v>Automation</v>
      </c>
    </row>
    <row r="571" spans="1:7" x14ac:dyDescent="0.35">
      <c r="A571" t="s">
        <v>60</v>
      </c>
      <c r="B571" t="s">
        <v>61</v>
      </c>
      <c r="C571" t="s">
        <v>50</v>
      </c>
      <c r="D571" s="1">
        <v>45992</v>
      </c>
      <c r="E571" s="3">
        <v>18000</v>
      </c>
      <c r="F571" t="str">
        <f>+TRIM(B571)</f>
        <v>Redwood Field Services</v>
      </c>
      <c r="G571" t="str" cm="1">
        <f t="array" ref="G571">_xlfn.IFS(
  ISNUMBER(SEARCH("Core", C571)), "Core Platform",
  ISNUMBER(SEARCH("Analytics", C571)), "Analytics",
  ISNUMBER(SEARCH("Automation", C571)), "Automation"
)</f>
        <v>Automation</v>
      </c>
    </row>
    <row r="572" spans="1:7" x14ac:dyDescent="0.35">
      <c r="A572" t="s">
        <v>17</v>
      </c>
      <c r="B572" t="s">
        <v>18</v>
      </c>
      <c r="C572" t="s">
        <v>10</v>
      </c>
      <c r="D572" s="1">
        <v>45778</v>
      </c>
      <c r="E572" s="3">
        <v>29000</v>
      </c>
      <c r="F572" t="str">
        <f>+TRIM(B572)</f>
        <v>Ironclad Security</v>
      </c>
      <c r="G572" t="str" cm="1">
        <f t="array" ref="G572">_xlfn.IFS(
  ISNUMBER(SEARCH("Core", C572)), "Core Platform",
  ISNUMBER(SEARCH("Analytics", C572)), "Analytics",
  ISNUMBER(SEARCH("Automation", C572)), "Automation"
)</f>
        <v>Analytics</v>
      </c>
    </row>
    <row r="573" spans="1:7" x14ac:dyDescent="0.35">
      <c r="A573" t="s">
        <v>41</v>
      </c>
      <c r="B573" t="s">
        <v>42</v>
      </c>
      <c r="C573" t="s">
        <v>21</v>
      </c>
      <c r="D573" s="1">
        <v>45748</v>
      </c>
      <c r="E573" s="3">
        <v>22000</v>
      </c>
      <c r="F573" t="str">
        <f>+TRIM(B573)</f>
        <v>Delta Refrigeration</v>
      </c>
      <c r="G573" t="str" cm="1">
        <f t="array" ref="G573">_xlfn.IFS(
  ISNUMBER(SEARCH("Core", C573)), "Core Platform",
  ISNUMBER(SEARCH("Analytics", C573)), "Analytics",
  ISNUMBER(SEARCH("Automation", C573)), "Automation"
)</f>
        <v>Automation</v>
      </c>
    </row>
    <row r="574" spans="1:7" x14ac:dyDescent="0.35">
      <c r="A574" t="s">
        <v>19</v>
      </c>
      <c r="B574" t="s">
        <v>20</v>
      </c>
      <c r="C574" t="s">
        <v>16</v>
      </c>
      <c r="D574" s="1">
        <v>45717</v>
      </c>
      <c r="E574" s="3">
        <v>79000</v>
      </c>
      <c r="F574" t="str">
        <f>+TRIM(B574)</f>
        <v>Granite State Mechanical</v>
      </c>
      <c r="G574" t="str" cm="1">
        <f t="array" ref="G574">_xlfn.IFS(
  ISNUMBER(SEARCH("Core", C574)), "Core Platform",
  ISNUMBER(SEARCH("Analytics", C574)), "Analytics",
  ISNUMBER(SEARCH("Automation", C574)), "Automation"
)</f>
        <v>Core Platform</v>
      </c>
    </row>
    <row r="575" spans="1:7" x14ac:dyDescent="0.35">
      <c r="A575" t="s">
        <v>66</v>
      </c>
      <c r="B575" t="s">
        <v>67</v>
      </c>
      <c r="C575" t="s">
        <v>28</v>
      </c>
      <c r="D575" s="1">
        <v>45901</v>
      </c>
      <c r="E575" s="3">
        <v>95000</v>
      </c>
      <c r="F575" t="str">
        <f>+TRIM(B575)</f>
        <v>Beacon Environmental</v>
      </c>
      <c r="G575" t="str" cm="1">
        <f t="array" ref="G575">_xlfn.IFS(
  ISNUMBER(SEARCH("Core", C575)), "Core Platform",
  ISNUMBER(SEARCH("Analytics", C575)), "Analytics",
  ISNUMBER(SEARCH("Automation", C575)), "Automation"
)</f>
        <v>Core Platform</v>
      </c>
    </row>
    <row r="576" spans="1:7" x14ac:dyDescent="0.35">
      <c r="A576" t="s">
        <v>111</v>
      </c>
      <c r="B576" t="s">
        <v>112</v>
      </c>
      <c r="C576" t="s">
        <v>28</v>
      </c>
      <c r="D576" s="1">
        <v>45992</v>
      </c>
      <c r="E576" s="3">
        <v>72000</v>
      </c>
      <c r="F576" t="str">
        <f>+TRIM(B576)</f>
        <v>Onyx Waste Solutions</v>
      </c>
      <c r="G576" t="str" cm="1">
        <f t="array" ref="G576">_xlfn.IFS(
  ISNUMBER(SEARCH("Core", C576)), "Core Platform",
  ISNUMBER(SEARCH("Analytics", C576)), "Analytics",
  ISNUMBER(SEARCH("Automation", C576)), "Automation"
)</f>
        <v>Core Platform</v>
      </c>
    </row>
    <row r="577" spans="1:7" x14ac:dyDescent="0.35">
      <c r="A577" t="s">
        <v>60</v>
      </c>
      <c r="B577" t="s">
        <v>61</v>
      </c>
      <c r="C577" t="s">
        <v>28</v>
      </c>
      <c r="D577" s="1">
        <v>45809</v>
      </c>
      <c r="E577" s="3">
        <v>35000</v>
      </c>
      <c r="F577" t="str">
        <f>+TRIM(B577)</f>
        <v>Redwood Field Services</v>
      </c>
      <c r="G577" t="str" cm="1">
        <f t="array" ref="G577">_xlfn.IFS(
  ISNUMBER(SEARCH("Core", C577)), "Core Platform",
  ISNUMBER(SEARCH("Analytics", C577)), "Analytics",
  ISNUMBER(SEARCH("Automation", C577)), "Automation"
)</f>
        <v>Core Platform</v>
      </c>
    </row>
    <row r="578" spans="1:7" x14ac:dyDescent="0.35">
      <c r="A578" t="s">
        <v>24</v>
      </c>
      <c r="B578" t="s">
        <v>45</v>
      </c>
      <c r="C578" t="s">
        <v>10</v>
      </c>
      <c r="D578" s="1">
        <v>45870</v>
      </c>
      <c r="E578" s="3">
        <v>38000</v>
      </c>
      <c r="F578" t="str">
        <f>+TRIM(B578)</f>
        <v>Kestrel Telecom</v>
      </c>
      <c r="G578" t="str" cm="1">
        <f t="array" ref="G578">_xlfn.IFS(
  ISNUMBER(SEARCH("Core", C578)), "Core Platform",
  ISNUMBER(SEARCH("Analytics", C578)), "Analytics",
  ISNUMBER(SEARCH("Automation", C578)), "Automation"
)</f>
        <v>Analytics</v>
      </c>
    </row>
    <row r="579" spans="1:7" x14ac:dyDescent="0.35">
      <c r="A579" t="s">
        <v>43</v>
      </c>
      <c r="B579" t="s">
        <v>44</v>
      </c>
      <c r="C579" t="s">
        <v>16</v>
      </c>
      <c r="D579" s="1">
        <v>45992</v>
      </c>
      <c r="E579" s="3">
        <v>70000</v>
      </c>
      <c r="F579" t="str">
        <f>+TRIM(B579)</f>
        <v>Harborview Plumbing</v>
      </c>
      <c r="G579" t="str" cm="1">
        <f t="array" ref="G579">_xlfn.IFS(
  ISNUMBER(SEARCH("Core", C579)), "Core Platform",
  ISNUMBER(SEARCH("Analytics", C579)), "Analytics",
  ISNUMBER(SEARCH("Automation", C579)), "Automation"
)</f>
        <v>Core Platform</v>
      </c>
    </row>
    <row r="580" spans="1:7" x14ac:dyDescent="0.35">
      <c r="A580" t="s">
        <v>22</v>
      </c>
      <c r="B580" t="s">
        <v>23</v>
      </c>
      <c r="C580" t="s">
        <v>28</v>
      </c>
      <c r="D580" s="1">
        <v>45627</v>
      </c>
      <c r="E580" s="3">
        <v>111000</v>
      </c>
      <c r="F580" t="str">
        <f>+TRIM(B580)</f>
        <v>Ridgeline HVAC</v>
      </c>
      <c r="G580" t="str" cm="1">
        <f t="array" ref="G580">_xlfn.IFS(
  ISNUMBER(SEARCH("Core", C580)), "Core Platform",
  ISNUMBER(SEARCH("Analytics", C580)), "Analytics",
  ISNUMBER(SEARCH("Automation", C580)), "Automation"
)</f>
        <v>Core Platform</v>
      </c>
    </row>
    <row r="581" spans="1:7" x14ac:dyDescent="0.35">
      <c r="A581" t="s">
        <v>24</v>
      </c>
      <c r="B581" t="s">
        <v>45</v>
      </c>
      <c r="C581" t="s">
        <v>10</v>
      </c>
      <c r="D581" s="1">
        <v>45717</v>
      </c>
      <c r="E581" s="3">
        <v>38000</v>
      </c>
      <c r="F581" t="str">
        <f>+TRIM(B581)</f>
        <v>Kestrel Telecom</v>
      </c>
      <c r="G581" t="str" cm="1">
        <f t="array" ref="G581">_xlfn.IFS(
  ISNUMBER(SEARCH("Core", C581)), "Core Platform",
  ISNUMBER(SEARCH("Analytics", C581)), "Analytics",
  ISNUMBER(SEARCH("Automation", C581)), "Automation"
)</f>
        <v>Analytics</v>
      </c>
    </row>
    <row r="582" spans="1:7" x14ac:dyDescent="0.35">
      <c r="A582" t="s">
        <v>5</v>
      </c>
      <c r="B582" t="s">
        <v>6</v>
      </c>
      <c r="C582" t="s">
        <v>21</v>
      </c>
      <c r="D582" s="1">
        <v>45931</v>
      </c>
      <c r="E582" s="3">
        <v>19000</v>
      </c>
      <c r="F582" t="str">
        <f>+TRIM(B582)</f>
        <v>Meridian Water Group</v>
      </c>
      <c r="G582" t="str" cm="1">
        <f t="array" ref="G582">_xlfn.IFS(
  ISNUMBER(SEARCH("Core", C582)), "Core Platform",
  ISNUMBER(SEARCH("Analytics", C582)), "Analytics",
  ISNUMBER(SEARCH("Automation", C582)), "Automation"
)</f>
        <v>Automation</v>
      </c>
    </row>
    <row r="583" spans="1:7" x14ac:dyDescent="0.35">
      <c r="A583" t="s">
        <v>33</v>
      </c>
      <c r="B583" t="s">
        <v>34</v>
      </c>
      <c r="C583" t="s">
        <v>21</v>
      </c>
      <c r="D583" s="1">
        <v>45901</v>
      </c>
      <c r="E583" s="3">
        <v>11000</v>
      </c>
      <c r="F583" t="str">
        <f>+TRIM(B583)</f>
        <v>Sandstone Roofing</v>
      </c>
      <c r="G583" t="str" cm="1">
        <f t="array" ref="G583">_xlfn.IFS(
  ISNUMBER(SEARCH("Core", C583)), "Core Platform",
  ISNUMBER(SEARCH("Analytics", C583)), "Analytics",
  ISNUMBER(SEARCH("Automation", C583)), "Automation"
)</f>
        <v>Automation</v>
      </c>
    </row>
    <row r="584" spans="1:7" x14ac:dyDescent="0.35">
      <c r="A584" t="s">
        <v>41</v>
      </c>
      <c r="B584" t="s">
        <v>42</v>
      </c>
      <c r="C584" t="s">
        <v>65</v>
      </c>
      <c r="D584" s="1">
        <v>45870</v>
      </c>
      <c r="E584" s="3">
        <v>17000</v>
      </c>
      <c r="F584" t="str">
        <f>+TRIM(B584)</f>
        <v>Delta Refrigeration</v>
      </c>
      <c r="G584" t="str" cm="1">
        <f t="array" ref="G584">_xlfn.IFS(
  ISNUMBER(SEARCH("Core", C584)), "Core Platform",
  ISNUMBER(SEARCH("Analytics", C584)), "Analytics",
  ISNUMBER(SEARCH("Automation", C584)), "Automation"
)</f>
        <v>Analytics</v>
      </c>
    </row>
    <row r="585" spans="1:7" x14ac:dyDescent="0.35">
      <c r="A585" t="s">
        <v>8</v>
      </c>
      <c r="B585" t="s">
        <v>9</v>
      </c>
      <c r="C585" t="s">
        <v>65</v>
      </c>
      <c r="D585" s="1">
        <v>45778</v>
      </c>
      <c r="E585" s="3">
        <v>35000</v>
      </c>
      <c r="F585" t="str">
        <f>+TRIM(B585)</f>
        <v>Cobalt Networks</v>
      </c>
      <c r="G585" t="str" cm="1">
        <f t="array" ref="G585">_xlfn.IFS(
  ISNUMBER(SEARCH("Core", C585)), "Core Platform",
  ISNUMBER(SEARCH("Analytics", C585)), "Analytics",
  ISNUMBER(SEARCH("Automation", C585)), "Automation"
)</f>
        <v>Analytics</v>
      </c>
    </row>
    <row r="586" spans="1:7" x14ac:dyDescent="0.35">
      <c r="A586" t="s">
        <v>70</v>
      </c>
      <c r="B586" t="s">
        <v>71</v>
      </c>
      <c r="C586" t="s">
        <v>28</v>
      </c>
      <c r="D586" s="1">
        <v>45901</v>
      </c>
      <c r="E586" s="3">
        <v>85000</v>
      </c>
      <c r="F586" t="str">
        <f>+TRIM(B586)</f>
        <v>Vertex Manufacturing</v>
      </c>
      <c r="G586" t="str" cm="1">
        <f t="array" ref="G586">_xlfn.IFS(
  ISNUMBER(SEARCH("Core", C586)), "Core Platform",
  ISNUMBER(SEARCH("Analytics", C586)), "Analytics",
  ISNUMBER(SEARCH("Automation", C586)), "Automation"
)</f>
        <v>Core Platform</v>
      </c>
    </row>
    <row r="587" spans="1:7" x14ac:dyDescent="0.35">
      <c r="A587" t="s">
        <v>33</v>
      </c>
      <c r="B587" t="s">
        <v>34</v>
      </c>
      <c r="C587" t="s">
        <v>13</v>
      </c>
      <c r="D587" s="1">
        <v>45931</v>
      </c>
      <c r="E587" s="3">
        <v>11000</v>
      </c>
      <c r="F587" t="str">
        <f>+TRIM(B587)</f>
        <v>Sandstone Roofing</v>
      </c>
      <c r="G587" t="str" cm="1">
        <f t="array" ref="G587">_xlfn.IFS(
  ISNUMBER(SEARCH("Core", C587)), "Core Platform",
  ISNUMBER(SEARCH("Analytics", C587)), "Analytics",
  ISNUMBER(SEARCH("Automation", C587)), "Automation"
)</f>
        <v>Automation</v>
      </c>
    </row>
    <row r="588" spans="1:7" x14ac:dyDescent="0.35">
      <c r="A588" t="s">
        <v>62</v>
      </c>
      <c r="B588" t="s">
        <v>63</v>
      </c>
      <c r="C588" t="s">
        <v>28</v>
      </c>
      <c r="D588" s="1">
        <v>45839</v>
      </c>
      <c r="E588" s="3">
        <v>46000</v>
      </c>
      <c r="F588" t="str">
        <f>+TRIM(B588)</f>
        <v>Copperfield Electrical</v>
      </c>
      <c r="G588" t="str" cm="1">
        <f t="array" ref="G588">_xlfn.IFS(
  ISNUMBER(SEARCH("Core", C588)), "Core Platform",
  ISNUMBER(SEARCH("Analytics", C588)), "Analytics",
  ISNUMBER(SEARCH("Automation", C588)), "Automation"
)</f>
        <v>Core Platform</v>
      </c>
    </row>
    <row r="589" spans="1:7" x14ac:dyDescent="0.35">
      <c r="A589" t="s">
        <v>39</v>
      </c>
      <c r="B589" t="s">
        <v>40</v>
      </c>
      <c r="C589" t="s">
        <v>10</v>
      </c>
      <c r="D589" s="1">
        <v>45778</v>
      </c>
      <c r="E589" s="3">
        <v>26000</v>
      </c>
      <c r="F589" t="str">
        <f>+TRIM(B589)</f>
        <v>Foundry Industrial</v>
      </c>
      <c r="G589" t="str" cm="1">
        <f t="array" ref="G589">_xlfn.IFS(
  ISNUMBER(SEARCH("Core", C589)), "Core Platform",
  ISNUMBER(SEARCH("Analytics", C589)), "Analytics",
  ISNUMBER(SEARCH("Automation", C589)), "Automation"
)</f>
        <v>Analytics</v>
      </c>
    </row>
    <row r="590" spans="1:7" x14ac:dyDescent="0.35">
      <c r="A590" t="s">
        <v>22</v>
      </c>
      <c r="B590" t="s">
        <v>23</v>
      </c>
      <c r="C590" t="s">
        <v>65</v>
      </c>
      <c r="D590" s="1">
        <v>45962</v>
      </c>
      <c r="E590" s="3">
        <v>15000</v>
      </c>
      <c r="F590" t="str">
        <f>+TRIM(B590)</f>
        <v>Ridgeline HVAC</v>
      </c>
      <c r="G590" t="str" cm="1">
        <f t="array" ref="G590">_xlfn.IFS(
  ISNUMBER(SEARCH("Core", C590)), "Core Platform",
  ISNUMBER(SEARCH("Analytics", C590)), "Analytics",
  ISNUMBER(SEARCH("Automation", C590)), "Automation"
)</f>
        <v>Analytics</v>
      </c>
    </row>
    <row r="591" spans="1:7" x14ac:dyDescent="0.35">
      <c r="A591" t="s">
        <v>53</v>
      </c>
      <c r="B591" t="s">
        <v>54</v>
      </c>
      <c r="C591" t="s">
        <v>65</v>
      </c>
      <c r="D591" s="1">
        <v>45962</v>
      </c>
      <c r="E591" s="3">
        <v>40000</v>
      </c>
      <c r="F591" t="str">
        <f>+TRIM(B591)</f>
        <v>Maple Grove Maintenance</v>
      </c>
      <c r="G591" t="str" cm="1">
        <f t="array" ref="G591">_xlfn.IFS(
  ISNUMBER(SEARCH("Core", C591)), "Core Platform",
  ISNUMBER(SEARCH("Analytics", C591)), "Analytics",
  ISNUMBER(SEARCH("Automation", C591)), "Automation"
)</f>
        <v>Analytics</v>
      </c>
    </row>
    <row r="592" spans="1:7" x14ac:dyDescent="0.35">
      <c r="A592" t="s">
        <v>29</v>
      </c>
      <c r="B592" t="s">
        <v>46</v>
      </c>
      <c r="C592" t="s">
        <v>10</v>
      </c>
      <c r="D592" s="1">
        <v>45931</v>
      </c>
      <c r="E592" s="3">
        <v>36000</v>
      </c>
      <c r="F592" t="str">
        <f>+TRIM(B592)</f>
        <v>Atlas Elevator Co</v>
      </c>
      <c r="G592" t="str" cm="1">
        <f t="array" ref="G592">_xlfn.IFS(
  ISNUMBER(SEARCH("Core", C592)), "Core Platform",
  ISNUMBER(SEARCH("Analytics", C592)), "Analytics",
  ISNUMBER(SEARCH("Automation", C592)), "Automation"
)</f>
        <v>Analytics</v>
      </c>
    </row>
    <row r="593" spans="1:7" x14ac:dyDescent="0.35">
      <c r="A593" t="s">
        <v>41</v>
      </c>
      <c r="B593" t="s">
        <v>42</v>
      </c>
      <c r="C593" t="s">
        <v>16</v>
      </c>
      <c r="D593" s="1">
        <v>45748</v>
      </c>
      <c r="E593" s="3">
        <v>102000</v>
      </c>
      <c r="F593" t="str">
        <f>+TRIM(B593)</f>
        <v>Delta Refrigeration</v>
      </c>
      <c r="G593" t="str" cm="1">
        <f t="array" ref="G593">_xlfn.IFS(
  ISNUMBER(SEARCH("Core", C593)), "Core Platform",
  ISNUMBER(SEARCH("Analytics", C593)), "Analytics",
  ISNUMBER(SEARCH("Automation", C593)), "Automation"
)</f>
        <v>Core Platform</v>
      </c>
    </row>
    <row r="594" spans="1:7" x14ac:dyDescent="0.35">
      <c r="A594" t="s">
        <v>11</v>
      </c>
      <c r="B594" t="s">
        <v>59</v>
      </c>
      <c r="C594" t="s">
        <v>50</v>
      </c>
      <c r="D594" s="1">
        <v>45809</v>
      </c>
      <c r="E594" s="3">
        <v>27000</v>
      </c>
      <c r="F594" t="str">
        <f>+TRIM(B594)</f>
        <v>Pinecrest Property</v>
      </c>
      <c r="G594" t="str" cm="1">
        <f t="array" ref="G594">_xlfn.IFS(
  ISNUMBER(SEARCH("Core", C594)), "Core Platform",
  ISNUMBER(SEARCH("Analytics", C594)), "Analytics",
  ISNUMBER(SEARCH("Automation", C594)), "Automation"
)</f>
        <v>Automation</v>
      </c>
    </row>
    <row r="595" spans="1:7" x14ac:dyDescent="0.35">
      <c r="A595" t="s">
        <v>72</v>
      </c>
      <c r="B595" t="s">
        <v>73</v>
      </c>
      <c r="C595" t="s">
        <v>7</v>
      </c>
      <c r="D595" s="1">
        <v>45627</v>
      </c>
      <c r="E595" s="3">
        <v>27000</v>
      </c>
      <c r="F595" t="str">
        <f>+TRIM(B595)</f>
        <v>Northwind Trading</v>
      </c>
      <c r="G595" t="str" cm="1">
        <f t="array" ref="G595">_xlfn.IFS(
  ISNUMBER(SEARCH("Core", C595)), "Core Platform",
  ISNUMBER(SEARCH("Analytics", C595)), "Analytics",
  ISNUMBER(SEARCH("Automation", C595)), "Automation"
)</f>
        <v>Analytics</v>
      </c>
    </row>
    <row r="596" spans="1:7" x14ac:dyDescent="0.35">
      <c r="A596" t="s">
        <v>5</v>
      </c>
      <c r="B596" t="s">
        <v>6</v>
      </c>
      <c r="C596" t="s">
        <v>10</v>
      </c>
      <c r="D596" s="1">
        <v>45839</v>
      </c>
      <c r="E596" s="3">
        <v>24000</v>
      </c>
      <c r="F596" t="str">
        <f>+TRIM(B596)</f>
        <v>Meridian Water Group</v>
      </c>
      <c r="G596" t="str" cm="1">
        <f t="array" ref="G596">_xlfn.IFS(
  ISNUMBER(SEARCH("Core", C596)), "Core Platform",
  ISNUMBER(SEARCH("Analytics", C596)), "Analytics",
  ISNUMBER(SEARCH("Automation", C596)), "Automation"
)</f>
        <v>Analytics</v>
      </c>
    </row>
    <row r="597" spans="1:7" x14ac:dyDescent="0.35">
      <c r="A597" t="s">
        <v>37</v>
      </c>
      <c r="B597" t="s">
        <v>38</v>
      </c>
      <c r="C597" t="s">
        <v>10</v>
      </c>
      <c r="D597" s="1">
        <v>45778</v>
      </c>
      <c r="E597" s="3">
        <v>15000</v>
      </c>
      <c r="F597" t="str">
        <f>+TRIM(B597)</f>
        <v>Fairwind Marine</v>
      </c>
      <c r="G597" t="str" cm="1">
        <f t="array" ref="G597">_xlfn.IFS(
  ISNUMBER(SEARCH("Core", C597)), "Core Platform",
  ISNUMBER(SEARCH("Analytics", C597)), "Analytics",
  ISNUMBER(SEARCH("Automation", C597)), "Automation"
)</f>
        <v>Analytics</v>
      </c>
    </row>
    <row r="598" spans="1:7" x14ac:dyDescent="0.35">
      <c r="A598" t="s">
        <v>8</v>
      </c>
      <c r="B598" t="s">
        <v>9</v>
      </c>
      <c r="C598" t="s">
        <v>16</v>
      </c>
      <c r="D598" s="1">
        <v>45778</v>
      </c>
      <c r="E598" s="3">
        <v>70000</v>
      </c>
      <c r="F598" t="str">
        <f>+TRIM(B598)</f>
        <v>Cobalt Networks</v>
      </c>
      <c r="G598" t="str" cm="1">
        <f t="array" ref="G598">_xlfn.IFS(
  ISNUMBER(SEARCH("Core", C598)), "Core Platform",
  ISNUMBER(SEARCH("Analytics", C598)), "Analytics",
  ISNUMBER(SEARCH("Automation", C598)), "Automation"
)</f>
        <v>Core Platform</v>
      </c>
    </row>
    <row r="599" spans="1:7" x14ac:dyDescent="0.35">
      <c r="A599" t="s">
        <v>17</v>
      </c>
      <c r="B599" t="s">
        <v>18</v>
      </c>
      <c r="C599" t="s">
        <v>13</v>
      </c>
      <c r="D599" s="1">
        <v>45962</v>
      </c>
      <c r="E599" s="3">
        <v>10000</v>
      </c>
      <c r="F599" t="str">
        <f>+TRIM(B599)</f>
        <v>Ironclad Security</v>
      </c>
      <c r="G599" t="str" cm="1">
        <f t="array" ref="G599">_xlfn.IFS(
  ISNUMBER(SEARCH("Core", C599)), "Core Platform",
  ISNUMBER(SEARCH("Analytics", C599)), "Analytics",
  ISNUMBER(SEARCH("Automation", C599)), "Automation"
)</f>
        <v>Automation</v>
      </c>
    </row>
    <row r="600" spans="1:7" x14ac:dyDescent="0.35">
      <c r="A600" t="s">
        <v>11</v>
      </c>
      <c r="B600" t="s">
        <v>59</v>
      </c>
      <c r="C600" t="s">
        <v>10</v>
      </c>
      <c r="D600" s="1">
        <v>45962</v>
      </c>
      <c r="E600" s="3">
        <v>39000</v>
      </c>
      <c r="F600" t="str">
        <f>+TRIM(B600)</f>
        <v>Pinecrest Property</v>
      </c>
      <c r="G600" t="str" cm="1">
        <f t="array" ref="G600">_xlfn.IFS(
  ISNUMBER(SEARCH("Core", C600)), "Core Platform",
  ISNUMBER(SEARCH("Analytics", C600)), "Analytics",
  ISNUMBER(SEARCH("Automation", C600)), "Automation"
)</f>
        <v>Analytics</v>
      </c>
    </row>
    <row r="601" spans="1:7" x14ac:dyDescent="0.35">
      <c r="A601" t="s">
        <v>43</v>
      </c>
      <c r="B601" t="s">
        <v>96</v>
      </c>
      <c r="C601" t="s">
        <v>28</v>
      </c>
      <c r="D601" s="1">
        <v>45689</v>
      </c>
      <c r="E601" s="3">
        <v>70000</v>
      </c>
      <c r="F601" t="str">
        <f>+TRIM(B601)</f>
        <v>Harborview Plumbing</v>
      </c>
      <c r="G601" t="str" cm="1">
        <f t="array" ref="G601">_xlfn.IFS(
  ISNUMBER(SEARCH("Core", C601)), "Core Platform",
  ISNUMBER(SEARCH("Analytics", C601)), "Analytics",
  ISNUMBER(SEARCH("Automation", C601)), "Automation"
)</f>
        <v>Core Platform</v>
      </c>
    </row>
    <row r="602" spans="1:7" x14ac:dyDescent="0.35">
      <c r="A602" t="s">
        <v>33</v>
      </c>
      <c r="B602" t="s">
        <v>34</v>
      </c>
      <c r="C602" t="s">
        <v>50</v>
      </c>
      <c r="D602" s="1">
        <v>45992</v>
      </c>
      <c r="E602" s="3">
        <v>11000</v>
      </c>
      <c r="F602" t="str">
        <f>+TRIM(B602)</f>
        <v>Sandstone Roofing</v>
      </c>
      <c r="G602" t="str" cm="1">
        <f t="array" ref="G602">_xlfn.IFS(
  ISNUMBER(SEARCH("Core", C602)), "Core Platform",
  ISNUMBER(SEARCH("Analytics", C602)), "Analytics",
  ISNUMBER(SEARCH("Automation", C602)), "Automation"
)</f>
        <v>Automation</v>
      </c>
    </row>
    <row r="603" spans="1:7" x14ac:dyDescent="0.35">
      <c r="A603" t="s">
        <v>51</v>
      </c>
      <c r="B603" t="s">
        <v>118</v>
      </c>
      <c r="C603" t="s">
        <v>50</v>
      </c>
      <c r="D603" s="1">
        <v>45658</v>
      </c>
      <c r="E603" s="3">
        <v>21000</v>
      </c>
      <c r="F603" t="str">
        <f>+TRIM(B603)</f>
        <v>Cedar Peak Utilities</v>
      </c>
      <c r="G603" t="str" cm="1">
        <f t="array" ref="G603">_xlfn.IFS(
  ISNUMBER(SEARCH("Core", C603)), "Core Platform",
  ISNUMBER(SEARCH("Analytics", C603)), "Analytics",
  ISNUMBER(SEARCH("Automation", C603)), "Automation"
)</f>
        <v>Automation</v>
      </c>
    </row>
    <row r="604" spans="1:7" x14ac:dyDescent="0.35">
      <c r="A604" t="s">
        <v>22</v>
      </c>
      <c r="B604" t="s">
        <v>23</v>
      </c>
      <c r="C604" t="s">
        <v>16</v>
      </c>
      <c r="D604" s="1">
        <v>45962</v>
      </c>
      <c r="E604" s="3">
        <v>132000</v>
      </c>
      <c r="F604" t="str">
        <f>+TRIM(B604)</f>
        <v>Ridgeline HVAC</v>
      </c>
      <c r="G604" t="str" cm="1">
        <f t="array" ref="G604">_xlfn.IFS(
  ISNUMBER(SEARCH("Core", C604)), "Core Platform",
  ISNUMBER(SEARCH("Analytics", C604)), "Analytics",
  ISNUMBER(SEARCH("Automation", C604)), "Automation"
)</f>
        <v>Core Platform</v>
      </c>
    </row>
    <row r="605" spans="1:7" x14ac:dyDescent="0.35">
      <c r="A605" t="s">
        <v>89</v>
      </c>
      <c r="B605" t="s">
        <v>90</v>
      </c>
      <c r="C605" t="s">
        <v>21</v>
      </c>
      <c r="D605" s="1">
        <v>45992</v>
      </c>
      <c r="E605" s="3">
        <v>19000</v>
      </c>
      <c r="F605" t="str">
        <f>+TRIM(B605)</f>
        <v>Riverbend Agriculture</v>
      </c>
      <c r="G605" t="str" cm="1">
        <f t="array" ref="G605">_xlfn.IFS(
  ISNUMBER(SEARCH("Core", C605)), "Core Platform",
  ISNUMBER(SEARCH("Analytics", C605)), "Analytics",
  ISNUMBER(SEARCH("Automation", C605)), "Automation"
)</f>
        <v>Automation</v>
      </c>
    </row>
    <row r="606" spans="1:7" x14ac:dyDescent="0.35">
      <c r="A606" t="s">
        <v>48</v>
      </c>
      <c r="B606" t="s">
        <v>119</v>
      </c>
      <c r="C606" t="s">
        <v>65</v>
      </c>
      <c r="D606" s="1">
        <v>45962</v>
      </c>
      <c r="E606" s="3">
        <v>26000</v>
      </c>
      <c r="F606" t="str">
        <f>+TRIM(B606)</f>
        <v>Lakeside Energy</v>
      </c>
      <c r="G606" t="str" cm="1">
        <f t="array" ref="G606">_xlfn.IFS(
  ISNUMBER(SEARCH("Core", C606)), "Core Platform",
  ISNUMBER(SEARCH("Analytics", C606)), "Analytics",
  ISNUMBER(SEARCH("Automation", C606)), "Automation"
)</f>
        <v>Analytics</v>
      </c>
    </row>
    <row r="607" spans="1:7" x14ac:dyDescent="0.35">
      <c r="A607" t="s">
        <v>62</v>
      </c>
      <c r="B607" t="s">
        <v>63</v>
      </c>
      <c r="C607" t="s">
        <v>28</v>
      </c>
      <c r="D607" s="1">
        <v>45658</v>
      </c>
      <c r="E607" s="3">
        <v>62000</v>
      </c>
      <c r="F607" t="str">
        <f>+TRIM(B607)</f>
        <v>Copperfield Electrical</v>
      </c>
      <c r="G607" t="str" cm="1">
        <f t="array" ref="G607">_xlfn.IFS(
  ISNUMBER(SEARCH("Core", C607)), "Core Platform",
  ISNUMBER(SEARCH("Analytics", C607)), "Analytics",
  ISNUMBER(SEARCH("Automation", C607)), "Automation"
)</f>
        <v>Core Platform</v>
      </c>
    </row>
    <row r="608" spans="1:7" x14ac:dyDescent="0.35">
      <c r="A608" t="s">
        <v>41</v>
      </c>
      <c r="B608" t="s">
        <v>120</v>
      </c>
      <c r="C608" t="s">
        <v>28</v>
      </c>
      <c r="D608" s="1">
        <v>45717</v>
      </c>
      <c r="E608" s="3">
        <v>102000</v>
      </c>
      <c r="F608" t="str">
        <f>+TRIM(B608)</f>
        <v>Delta Refrigeration</v>
      </c>
      <c r="G608" t="str" cm="1">
        <f t="array" ref="G608">_xlfn.IFS(
  ISNUMBER(SEARCH("Core", C608)), "Core Platform",
  ISNUMBER(SEARCH("Analytics", C608)), "Analytics",
  ISNUMBER(SEARCH("Automation", C608)), "Automation"
)</f>
        <v>Core Platform</v>
      </c>
    </row>
    <row r="609" spans="1:7" x14ac:dyDescent="0.35">
      <c r="A609" t="s">
        <v>31</v>
      </c>
      <c r="B609" t="s">
        <v>32</v>
      </c>
      <c r="C609" t="s">
        <v>28</v>
      </c>
      <c r="D609" s="1">
        <v>45809</v>
      </c>
      <c r="E609" s="3">
        <v>77000</v>
      </c>
      <c r="F609" t="str">
        <f>+TRIM(B609)</f>
        <v>Summit Fire Protection</v>
      </c>
      <c r="G609" t="str" cm="1">
        <f t="array" ref="G609">_xlfn.IFS(
  ISNUMBER(SEARCH("Core", C609)), "Core Platform",
  ISNUMBER(SEARCH("Analytics", C609)), "Analytics",
  ISNUMBER(SEARCH("Automation", C609)), "Automation"
)</f>
        <v>Core Platform</v>
      </c>
    </row>
    <row r="610" spans="1:7" x14ac:dyDescent="0.35">
      <c r="A610" t="s">
        <v>68</v>
      </c>
      <c r="B610" t="s">
        <v>69</v>
      </c>
      <c r="C610" t="s">
        <v>28</v>
      </c>
      <c r="D610" s="1">
        <v>45931</v>
      </c>
      <c r="E610" s="3">
        <v>40000</v>
      </c>
      <c r="F610" t="str">
        <f>+TRIM(B610)</f>
        <v>Silverline Rail</v>
      </c>
      <c r="G610" t="str" cm="1">
        <f t="array" ref="G610">_xlfn.IFS(
  ISNUMBER(SEARCH("Core", C610)), "Core Platform",
  ISNUMBER(SEARCH("Analytics", C610)), "Analytics",
  ISNUMBER(SEARCH("Automation", C610)), "Automation"
)</f>
        <v>Core Platform</v>
      </c>
    </row>
    <row r="611" spans="1:7" x14ac:dyDescent="0.35">
      <c r="A611" t="s">
        <v>89</v>
      </c>
      <c r="B611" t="s">
        <v>90</v>
      </c>
      <c r="C611" t="s">
        <v>13</v>
      </c>
      <c r="D611" s="1">
        <v>45962</v>
      </c>
      <c r="E611" s="3">
        <v>19000</v>
      </c>
      <c r="F611" t="str">
        <f>+TRIM(B611)</f>
        <v>Riverbend Agriculture</v>
      </c>
      <c r="G611" t="str" cm="1">
        <f t="array" ref="G611">_xlfn.IFS(
  ISNUMBER(SEARCH("Core", C611)), "Core Platform",
  ISNUMBER(SEARCH("Analytics", C611)), "Analytics",
  ISNUMBER(SEARCH("Automation", C611)), "Automation"
)</f>
        <v>Automation</v>
      </c>
    </row>
    <row r="612" spans="1:7" x14ac:dyDescent="0.35">
      <c r="A612" t="s">
        <v>39</v>
      </c>
      <c r="B612" t="s">
        <v>40</v>
      </c>
      <c r="C612" t="s">
        <v>10</v>
      </c>
      <c r="D612" s="1">
        <v>45992</v>
      </c>
      <c r="E612" s="3">
        <v>31000</v>
      </c>
      <c r="F612" t="str">
        <f>+TRIM(B612)</f>
        <v>Foundry Industrial</v>
      </c>
      <c r="G612" t="str" cm="1">
        <f t="array" ref="G612">_xlfn.IFS(
  ISNUMBER(SEARCH("Core", C612)), "Core Platform",
  ISNUMBER(SEARCH("Analytics", C612)), "Analytics",
  ISNUMBER(SEARCH("Automation", C612)), "Automation"
)</f>
        <v>Analytics</v>
      </c>
    </row>
    <row r="613" spans="1:7" x14ac:dyDescent="0.35">
      <c r="A613" t="s">
        <v>33</v>
      </c>
      <c r="B613" t="s">
        <v>34</v>
      </c>
      <c r="C613" t="s">
        <v>10</v>
      </c>
      <c r="D613" s="1">
        <v>45931</v>
      </c>
      <c r="E613" s="3">
        <v>17000</v>
      </c>
      <c r="F613" t="str">
        <f>+TRIM(B613)</f>
        <v>Sandstone Roofing</v>
      </c>
      <c r="G613" t="str" cm="1">
        <f t="array" ref="G613">_xlfn.IFS(
  ISNUMBER(SEARCH("Core", C613)), "Core Platform",
  ISNUMBER(SEARCH("Analytics", C613)), "Analytics",
  ISNUMBER(SEARCH("Automation", C613)), "Automation"
)</f>
        <v>Analytics</v>
      </c>
    </row>
    <row r="614" spans="1:7" x14ac:dyDescent="0.35">
      <c r="A614" t="s">
        <v>78</v>
      </c>
      <c r="B614" t="s">
        <v>79</v>
      </c>
      <c r="C614" t="s">
        <v>28</v>
      </c>
      <c r="D614" s="1">
        <v>45809</v>
      </c>
      <c r="E614" s="3">
        <v>49000</v>
      </c>
      <c r="F614" t="str">
        <f>+TRIM(B614)</f>
        <v>Orion Building Systems</v>
      </c>
      <c r="G614" t="str" cm="1">
        <f t="array" ref="G614">_xlfn.IFS(
  ISNUMBER(SEARCH("Core", C614)), "Core Platform",
  ISNUMBER(SEARCH("Analytics", C614)), "Analytics",
  ISNUMBER(SEARCH("Automation", C614)), "Automation"
)</f>
        <v>Core Platform</v>
      </c>
    </row>
    <row r="615" spans="1:7" x14ac:dyDescent="0.35">
      <c r="A615" t="s">
        <v>17</v>
      </c>
      <c r="B615" t="s">
        <v>18</v>
      </c>
      <c r="C615" t="s">
        <v>50</v>
      </c>
      <c r="D615" s="1">
        <v>45778</v>
      </c>
      <c r="E615" s="3">
        <v>10000</v>
      </c>
      <c r="F615" t="str">
        <f>+TRIM(B615)</f>
        <v>Ironclad Security</v>
      </c>
      <c r="G615" t="str" cm="1">
        <f t="array" ref="G615">_xlfn.IFS(
  ISNUMBER(SEARCH("Core", C615)), "Core Platform",
  ISNUMBER(SEARCH("Analytics", C615)), "Analytics",
  ISNUMBER(SEARCH("Automation", C615)), "Automation"
)</f>
        <v>Automation</v>
      </c>
    </row>
    <row r="616" spans="1:7" x14ac:dyDescent="0.35">
      <c r="A616" t="s">
        <v>41</v>
      </c>
      <c r="B616" t="s">
        <v>42</v>
      </c>
      <c r="C616" t="s">
        <v>16</v>
      </c>
      <c r="D616" s="1">
        <v>45962</v>
      </c>
      <c r="E616" s="3">
        <v>102000</v>
      </c>
      <c r="F616" t="str">
        <f>+TRIM(B616)</f>
        <v>Delta Refrigeration</v>
      </c>
      <c r="G616" t="str" cm="1">
        <f t="array" ref="G616">_xlfn.IFS(
  ISNUMBER(SEARCH("Core", C616)), "Core Platform",
  ISNUMBER(SEARCH("Analytics", C616)), "Analytics",
  ISNUMBER(SEARCH("Automation", C616)), "Automation"
)</f>
        <v>Core Platform</v>
      </c>
    </row>
    <row r="617" spans="1:7" x14ac:dyDescent="0.35">
      <c r="A617" t="s">
        <v>72</v>
      </c>
      <c r="B617" t="s">
        <v>73</v>
      </c>
      <c r="C617" t="s">
        <v>28</v>
      </c>
      <c r="D617" s="1">
        <v>45689</v>
      </c>
      <c r="E617" s="3">
        <v>117000</v>
      </c>
      <c r="F617" t="str">
        <f>+TRIM(B617)</f>
        <v>Northwind Trading</v>
      </c>
      <c r="G617" t="str" cm="1">
        <f t="array" ref="G617">_xlfn.IFS(
  ISNUMBER(SEARCH("Core", C617)), "Core Platform",
  ISNUMBER(SEARCH("Analytics", C617)), "Analytics",
  ISNUMBER(SEARCH("Automation", C617)), "Automation"
)</f>
        <v>Core Platform</v>
      </c>
    </row>
    <row r="618" spans="1:7" x14ac:dyDescent="0.35">
      <c r="A618" t="s">
        <v>66</v>
      </c>
      <c r="B618" t="s">
        <v>67</v>
      </c>
      <c r="C618" t="s">
        <v>65</v>
      </c>
      <c r="D618" s="1">
        <v>45992</v>
      </c>
      <c r="E618" s="3">
        <v>19000</v>
      </c>
      <c r="F618" t="str">
        <f>+TRIM(B618)</f>
        <v>Beacon Environmental</v>
      </c>
      <c r="G618" t="str" cm="1">
        <f t="array" ref="G618">_xlfn.IFS(
  ISNUMBER(SEARCH("Core", C618)), "Core Platform",
  ISNUMBER(SEARCH("Analytics", C618)), "Analytics",
  ISNUMBER(SEARCH("Automation", C618)), "Automation"
)</f>
        <v>Analytics</v>
      </c>
    </row>
    <row r="619" spans="1:7" x14ac:dyDescent="0.35">
      <c r="A619" t="s">
        <v>60</v>
      </c>
      <c r="B619" t="s">
        <v>61</v>
      </c>
      <c r="C619" t="s">
        <v>21</v>
      </c>
      <c r="D619" s="1">
        <v>45778</v>
      </c>
      <c r="E619" s="3">
        <v>18000</v>
      </c>
      <c r="F619" t="str">
        <f>+TRIM(B619)</f>
        <v>Redwood Field Services</v>
      </c>
      <c r="G619" t="str" cm="1">
        <f t="array" ref="G619">_xlfn.IFS(
  ISNUMBER(SEARCH("Core", C619)), "Core Platform",
  ISNUMBER(SEARCH("Analytics", C619)), "Analytics",
  ISNUMBER(SEARCH("Automation", C619)), "Automation"
)</f>
        <v>Automation</v>
      </c>
    </row>
    <row r="620" spans="1:7" x14ac:dyDescent="0.35">
      <c r="A620" t="s">
        <v>11</v>
      </c>
      <c r="B620" t="s">
        <v>59</v>
      </c>
      <c r="C620" t="s">
        <v>21</v>
      </c>
      <c r="D620" s="1">
        <v>45901</v>
      </c>
      <c r="E620" s="3">
        <v>27000</v>
      </c>
      <c r="F620" t="str">
        <f>+TRIM(B620)</f>
        <v>Pinecrest Property</v>
      </c>
      <c r="G620" t="str" cm="1">
        <f t="array" ref="G620">_xlfn.IFS(
  ISNUMBER(SEARCH("Core", C620)), "Core Platform",
  ISNUMBER(SEARCH("Analytics", C620)), "Analytics",
  ISNUMBER(SEARCH("Automation", C620)), "Automation"
)</f>
        <v>Automation</v>
      </c>
    </row>
    <row r="621" spans="1:7" x14ac:dyDescent="0.35">
      <c r="A621" t="s">
        <v>74</v>
      </c>
      <c r="B621" t="s">
        <v>121</v>
      </c>
      <c r="C621" t="s">
        <v>28</v>
      </c>
      <c r="D621" s="1">
        <v>45689</v>
      </c>
      <c r="E621" s="3">
        <v>120000</v>
      </c>
      <c r="F621" t="str">
        <f>+TRIM(B621)</f>
        <v>Sterling Facilities</v>
      </c>
      <c r="G621" t="str" cm="1">
        <f t="array" ref="G621">_xlfn.IFS(
  ISNUMBER(SEARCH("Core", C621)), "Core Platform",
  ISNUMBER(SEARCH("Analytics", C621)), "Analytics",
  ISNUMBER(SEARCH("Automation", C621)), "Automation"
)</f>
        <v>Core Platform</v>
      </c>
    </row>
    <row r="622" spans="1:7" x14ac:dyDescent="0.35">
      <c r="A622" t="s">
        <v>5</v>
      </c>
      <c r="B622" t="s">
        <v>6</v>
      </c>
      <c r="C622" t="s">
        <v>21</v>
      </c>
      <c r="D622" s="1">
        <v>45901</v>
      </c>
      <c r="E622" s="3">
        <v>19000</v>
      </c>
      <c r="F622" t="str">
        <f>+TRIM(B622)</f>
        <v>Meridian Water Group</v>
      </c>
      <c r="G622" t="str" cm="1">
        <f t="array" ref="G622">_xlfn.IFS(
  ISNUMBER(SEARCH("Core", C622)), "Core Platform",
  ISNUMBER(SEARCH("Analytics", C622)), "Analytics",
  ISNUMBER(SEARCH("Automation", C622)), "Automation"
)</f>
        <v>Automation</v>
      </c>
    </row>
    <row r="623" spans="1:7" x14ac:dyDescent="0.35">
      <c r="A623" t="s">
        <v>62</v>
      </c>
      <c r="B623" t="s">
        <v>63</v>
      </c>
      <c r="C623" t="s">
        <v>28</v>
      </c>
      <c r="D623" s="1">
        <v>45778</v>
      </c>
      <c r="E623" s="3">
        <v>62000</v>
      </c>
      <c r="F623" t="str">
        <f>+TRIM(B623)</f>
        <v>Copperfield Electrical</v>
      </c>
      <c r="G623" t="str" cm="1">
        <f t="array" ref="G623">_xlfn.IFS(
  ISNUMBER(SEARCH("Core", C623)), "Core Platform",
  ISNUMBER(SEARCH("Analytics", C623)), "Analytics",
  ISNUMBER(SEARCH("Automation", C623)), "Automation"
)</f>
        <v>Core Platform</v>
      </c>
    </row>
    <row r="624" spans="1:7" x14ac:dyDescent="0.35">
      <c r="A624" t="s">
        <v>72</v>
      </c>
      <c r="B624" t="s">
        <v>73</v>
      </c>
      <c r="C624" t="s">
        <v>21</v>
      </c>
      <c r="D624" s="1">
        <v>45839</v>
      </c>
      <c r="E624" s="3">
        <v>16000</v>
      </c>
      <c r="F624" t="str">
        <f>+TRIM(B624)</f>
        <v>Northwind Trading</v>
      </c>
      <c r="G624" t="str" cm="1">
        <f t="array" ref="G624">_xlfn.IFS(
  ISNUMBER(SEARCH("Core", C624)), "Core Platform",
  ISNUMBER(SEARCH("Analytics", C624)), "Analytics",
  ISNUMBER(SEARCH("Automation", C624)), "Automation"
)</f>
        <v>Automation</v>
      </c>
    </row>
    <row r="625" spans="1:7" x14ac:dyDescent="0.35">
      <c r="A625" t="s">
        <v>11</v>
      </c>
      <c r="B625" t="s">
        <v>59</v>
      </c>
      <c r="C625" t="s">
        <v>10</v>
      </c>
      <c r="D625" s="1">
        <v>45778</v>
      </c>
      <c r="E625" s="3">
        <v>39000</v>
      </c>
      <c r="F625" t="str">
        <f>+TRIM(B625)</f>
        <v>Pinecrest Property</v>
      </c>
      <c r="G625" t="str" cm="1">
        <f t="array" ref="G625">_xlfn.IFS(
  ISNUMBER(SEARCH("Core", C625)), "Core Platform",
  ISNUMBER(SEARCH("Analytics", C625)), "Analytics",
  ISNUMBER(SEARCH("Automation", C625)), "Automation"
)</f>
        <v>Analytics</v>
      </c>
    </row>
    <row r="626" spans="1:7" x14ac:dyDescent="0.35">
      <c r="A626" t="s">
        <v>57</v>
      </c>
      <c r="B626" t="s">
        <v>58</v>
      </c>
      <c r="C626" t="s">
        <v>21</v>
      </c>
      <c r="D626" s="1">
        <v>45931</v>
      </c>
      <c r="E626" s="3">
        <v>20000</v>
      </c>
      <c r="F626" t="str">
        <f>+TRIM(B626)</f>
        <v>Everest Drilling</v>
      </c>
      <c r="G626" t="str" cm="1">
        <f t="array" ref="G626">_xlfn.IFS(
  ISNUMBER(SEARCH("Core", C626)), "Core Platform",
  ISNUMBER(SEARCH("Analytics", C626)), "Analytics",
  ISNUMBER(SEARCH("Automation", C626)), "Automation"
)</f>
        <v>Automation</v>
      </c>
    </row>
    <row r="627" spans="1:7" x14ac:dyDescent="0.35">
      <c r="A627" t="s">
        <v>11</v>
      </c>
      <c r="B627" t="s">
        <v>59</v>
      </c>
      <c r="C627" t="s">
        <v>7</v>
      </c>
      <c r="D627" s="1">
        <v>45901</v>
      </c>
      <c r="E627" s="3">
        <v>39000</v>
      </c>
      <c r="F627" t="str">
        <f>+TRIM(B627)</f>
        <v>Pinecrest Property</v>
      </c>
      <c r="G627" t="str" cm="1">
        <f t="array" ref="G627">_xlfn.IFS(
  ISNUMBER(SEARCH("Core", C627)), "Core Platform",
  ISNUMBER(SEARCH("Analytics", C627)), "Analytics",
  ISNUMBER(SEARCH("Automation", C627)), "Automation"
)</f>
        <v>Analytics</v>
      </c>
    </row>
    <row r="628" spans="1:7" x14ac:dyDescent="0.35">
      <c r="A628" t="s">
        <v>89</v>
      </c>
      <c r="B628" t="s">
        <v>90</v>
      </c>
      <c r="C628" t="s">
        <v>28</v>
      </c>
      <c r="D628" s="1">
        <v>45962</v>
      </c>
      <c r="E628" s="3">
        <v>71000</v>
      </c>
      <c r="F628" t="str">
        <f>+TRIM(B628)</f>
        <v>Riverbend Agriculture</v>
      </c>
      <c r="G628" t="str" cm="1">
        <f t="array" ref="G628">_xlfn.IFS(
  ISNUMBER(SEARCH("Core", C628)), "Core Platform",
  ISNUMBER(SEARCH("Analytics", C628)), "Analytics",
  ISNUMBER(SEARCH("Automation", C628)), "Automation"
)</f>
        <v>Core Platform</v>
      </c>
    </row>
    <row r="629" spans="1:7" x14ac:dyDescent="0.35">
      <c r="A629" t="s">
        <v>72</v>
      </c>
      <c r="B629" t="s">
        <v>73</v>
      </c>
      <c r="C629" t="s">
        <v>28</v>
      </c>
      <c r="D629" s="1">
        <v>45962</v>
      </c>
      <c r="E629" s="3">
        <v>117000</v>
      </c>
      <c r="F629" t="str">
        <f>+TRIM(B629)</f>
        <v>Northwind Trading</v>
      </c>
      <c r="G629" t="str" cm="1">
        <f t="array" ref="G629">_xlfn.IFS(
  ISNUMBER(SEARCH("Core", C629)), "Core Platform",
  ISNUMBER(SEARCH("Analytics", C629)), "Analytics",
  ISNUMBER(SEARCH("Automation", C629)), "Automation"
)</f>
        <v>Core Platform</v>
      </c>
    </row>
    <row r="630" spans="1:7" x14ac:dyDescent="0.35">
      <c r="A630" t="s">
        <v>60</v>
      </c>
      <c r="B630" t="s">
        <v>61</v>
      </c>
      <c r="C630" t="s">
        <v>28</v>
      </c>
      <c r="D630" s="1">
        <v>45870</v>
      </c>
      <c r="E630" s="3">
        <v>35000</v>
      </c>
      <c r="F630" t="str">
        <f>+TRIM(B630)</f>
        <v>Redwood Field Services</v>
      </c>
      <c r="G630" t="str" cm="1">
        <f t="array" ref="G630">_xlfn.IFS(
  ISNUMBER(SEARCH("Core", C630)), "Core Platform",
  ISNUMBER(SEARCH("Analytics", C630)), "Analytics",
  ISNUMBER(SEARCH("Automation", C630)), "Automation"
)</f>
        <v>Core Platform</v>
      </c>
    </row>
    <row r="631" spans="1:7" x14ac:dyDescent="0.35">
      <c r="A631" t="s">
        <v>11</v>
      </c>
      <c r="B631" t="s">
        <v>59</v>
      </c>
      <c r="C631" t="s">
        <v>28</v>
      </c>
      <c r="D631" s="1">
        <v>45748</v>
      </c>
      <c r="E631" s="3">
        <v>118000</v>
      </c>
      <c r="F631" t="str">
        <f>+TRIM(B631)</f>
        <v>Pinecrest Property</v>
      </c>
      <c r="G631" t="str" cm="1">
        <f t="array" ref="G631">_xlfn.IFS(
  ISNUMBER(SEARCH("Core", C631)), "Core Platform",
  ISNUMBER(SEARCH("Analytics", C631)), "Analytics",
  ISNUMBER(SEARCH("Automation", C631)), "Automation"
)</f>
        <v>Core Platform</v>
      </c>
    </row>
    <row r="632" spans="1:7" x14ac:dyDescent="0.35">
      <c r="A632" t="s">
        <v>17</v>
      </c>
      <c r="B632" t="s">
        <v>18</v>
      </c>
      <c r="C632" t="s">
        <v>10</v>
      </c>
      <c r="D632" s="1">
        <v>45962</v>
      </c>
      <c r="E632" s="3">
        <v>45000</v>
      </c>
      <c r="F632" t="str">
        <f>+TRIM(B632)</f>
        <v>Ironclad Security</v>
      </c>
      <c r="G632" t="str" cm="1">
        <f t="array" ref="G632">_xlfn.IFS(
  ISNUMBER(SEARCH("Core", C632)), "Core Platform",
  ISNUMBER(SEARCH("Analytics", C632)), "Analytics",
  ISNUMBER(SEARCH("Automation", C632)), "Automation"
)</f>
        <v>Analytics</v>
      </c>
    </row>
    <row r="633" spans="1:7" x14ac:dyDescent="0.35">
      <c r="A633" t="s">
        <v>26</v>
      </c>
      <c r="B633" t="s">
        <v>27</v>
      </c>
      <c r="C633" t="s">
        <v>16</v>
      </c>
      <c r="D633" s="1">
        <v>45839</v>
      </c>
      <c r="E633" s="3">
        <v>72000</v>
      </c>
      <c r="F633" t="str">
        <f>+TRIM(B633)</f>
        <v>Blue Harbor Logistics</v>
      </c>
      <c r="G633" t="str" cm="1">
        <f t="array" ref="G633">_xlfn.IFS(
  ISNUMBER(SEARCH("Core", C633)), "Core Platform",
  ISNUMBER(SEARCH("Analytics", C633)), "Analytics",
  ISNUMBER(SEARCH("Automation", C633)), "Automation"
)</f>
        <v>Core Platform</v>
      </c>
    </row>
    <row r="634" spans="1:7" x14ac:dyDescent="0.35">
      <c r="A634" t="s">
        <v>78</v>
      </c>
      <c r="B634" t="s">
        <v>79</v>
      </c>
      <c r="C634" t="s">
        <v>28</v>
      </c>
      <c r="D634" s="1">
        <v>45870</v>
      </c>
      <c r="E634" s="3">
        <v>49000</v>
      </c>
      <c r="F634" t="str">
        <f>+TRIM(B634)</f>
        <v>Orion Building Systems</v>
      </c>
      <c r="G634" t="str" cm="1">
        <f t="array" ref="G634">_xlfn.IFS(
  ISNUMBER(SEARCH("Core", C634)), "Core Platform",
  ISNUMBER(SEARCH("Analytics", C634)), "Analytics",
  ISNUMBER(SEARCH("Automation", C634)), "Automation"
)</f>
        <v>Core Platform</v>
      </c>
    </row>
    <row r="635" spans="1:7" x14ac:dyDescent="0.35">
      <c r="A635" t="s">
        <v>11</v>
      </c>
      <c r="B635" t="s">
        <v>59</v>
      </c>
      <c r="C635" t="s">
        <v>28</v>
      </c>
      <c r="D635" s="1">
        <v>45658</v>
      </c>
      <c r="E635" s="3">
        <v>118000</v>
      </c>
      <c r="F635" t="str">
        <f>+TRIM(B635)</f>
        <v>Pinecrest Property</v>
      </c>
      <c r="G635" t="str" cm="1">
        <f t="array" ref="G635">_xlfn.IFS(
  ISNUMBER(SEARCH("Core", C635)), "Core Platform",
  ISNUMBER(SEARCH("Analytics", C635)), "Analytics",
  ISNUMBER(SEARCH("Automation", C635)), "Automation"
)</f>
        <v>Core Platform</v>
      </c>
    </row>
    <row r="636" spans="1:7" x14ac:dyDescent="0.35">
      <c r="A636" t="s">
        <v>51</v>
      </c>
      <c r="B636" t="s">
        <v>52</v>
      </c>
      <c r="C636" t="s">
        <v>28</v>
      </c>
      <c r="D636" s="1">
        <v>45627</v>
      </c>
      <c r="E636" s="3">
        <v>38000</v>
      </c>
      <c r="F636" t="str">
        <f>+TRIM(B636)</f>
        <v>Cedar Peak Utilities</v>
      </c>
      <c r="G636" t="str" cm="1">
        <f t="array" ref="G636">_xlfn.IFS(
  ISNUMBER(SEARCH("Core", C636)), "Core Platform",
  ISNUMBER(SEARCH("Analytics", C636)), "Analytics",
  ISNUMBER(SEARCH("Automation", C636)), "Automation"
)</f>
        <v>Core Platform</v>
      </c>
    </row>
    <row r="637" spans="1:7" x14ac:dyDescent="0.35">
      <c r="A637" t="s">
        <v>26</v>
      </c>
      <c r="B637" t="s">
        <v>27</v>
      </c>
      <c r="C637" t="s">
        <v>28</v>
      </c>
      <c r="D637" s="1">
        <v>45931</v>
      </c>
      <c r="E637" s="3">
        <v>72000</v>
      </c>
      <c r="F637" t="str">
        <f>+TRIM(B637)</f>
        <v>Blue Harbor Logistics</v>
      </c>
      <c r="G637" t="str" cm="1">
        <f t="array" ref="G637">_xlfn.IFS(
  ISNUMBER(SEARCH("Core", C637)), "Core Platform",
  ISNUMBER(SEARCH("Analytics", C637)), "Analytics",
  ISNUMBER(SEARCH("Automation", C637)), "Automation"
)</f>
        <v>Core Platform</v>
      </c>
    </row>
    <row r="638" spans="1:7" x14ac:dyDescent="0.35">
      <c r="A638" t="s">
        <v>11</v>
      </c>
      <c r="B638" t="s">
        <v>59</v>
      </c>
      <c r="C638" t="s">
        <v>13</v>
      </c>
      <c r="D638" s="1">
        <v>45778</v>
      </c>
      <c r="E638" s="3">
        <v>27000</v>
      </c>
      <c r="F638" t="str">
        <f>+TRIM(B638)</f>
        <v>Pinecrest Property</v>
      </c>
      <c r="G638" t="str" cm="1">
        <f t="array" ref="G638">_xlfn.IFS(
  ISNUMBER(SEARCH("Core", C638)), "Core Platform",
  ISNUMBER(SEARCH("Analytics", C638)), "Analytics",
  ISNUMBER(SEARCH("Automation", C638)), "Automation"
)</f>
        <v>Automation</v>
      </c>
    </row>
    <row r="639" spans="1:7" x14ac:dyDescent="0.35">
      <c r="A639" t="s">
        <v>60</v>
      </c>
      <c r="B639" t="s">
        <v>61</v>
      </c>
      <c r="C639" t="s">
        <v>16</v>
      </c>
      <c r="D639" s="1">
        <v>45901</v>
      </c>
      <c r="E639" s="3">
        <v>35000</v>
      </c>
      <c r="F639" t="str">
        <f>+TRIM(B639)</f>
        <v>Redwood Field Services</v>
      </c>
      <c r="G639" t="str" cm="1">
        <f t="array" ref="G639">_xlfn.IFS(
  ISNUMBER(SEARCH("Core", C639)), "Core Platform",
  ISNUMBER(SEARCH("Analytics", C639)), "Analytics",
  ISNUMBER(SEARCH("Automation", C639)), "Automation"
)</f>
        <v>Core Platform</v>
      </c>
    </row>
    <row r="640" spans="1:7" x14ac:dyDescent="0.35">
      <c r="A640" t="s">
        <v>70</v>
      </c>
      <c r="B640" t="s">
        <v>71</v>
      </c>
      <c r="C640" t="s">
        <v>28</v>
      </c>
      <c r="D640" s="1">
        <v>45992</v>
      </c>
      <c r="E640" s="3">
        <v>85000</v>
      </c>
      <c r="F640" t="str">
        <f>+TRIM(B640)</f>
        <v>Vertex Manufacturing</v>
      </c>
      <c r="G640" t="str" cm="1">
        <f t="array" ref="G640">_xlfn.IFS(
  ISNUMBER(SEARCH("Core", C640)), "Core Platform",
  ISNUMBER(SEARCH("Analytics", C640)), "Analytics",
  ISNUMBER(SEARCH("Automation", C640)), "Automation"
)</f>
        <v>Core Platform</v>
      </c>
    </row>
    <row r="641" spans="1:7" x14ac:dyDescent="0.35">
      <c r="A641" t="s">
        <v>39</v>
      </c>
      <c r="B641" t="s">
        <v>40</v>
      </c>
      <c r="C641" t="s">
        <v>21</v>
      </c>
      <c r="D641" s="1">
        <v>45901</v>
      </c>
      <c r="E641" s="3">
        <v>19000</v>
      </c>
      <c r="F641" t="str">
        <f>+TRIM(B641)</f>
        <v>Foundry Industrial</v>
      </c>
      <c r="G641" t="str" cm="1">
        <f t="array" ref="G641">_xlfn.IFS(
  ISNUMBER(SEARCH("Core", C641)), "Core Platform",
  ISNUMBER(SEARCH("Analytics", C641)), "Analytics",
  ISNUMBER(SEARCH("Automation", C641)), "Automation"
)</f>
        <v>Automation</v>
      </c>
    </row>
    <row r="642" spans="1:7" x14ac:dyDescent="0.35">
      <c r="A642" t="s">
        <v>26</v>
      </c>
      <c r="B642" t="s">
        <v>27</v>
      </c>
      <c r="C642" t="s">
        <v>16</v>
      </c>
      <c r="D642" s="1">
        <v>45992</v>
      </c>
      <c r="E642" s="3">
        <v>72000</v>
      </c>
      <c r="F642" t="str">
        <f>+TRIM(B642)</f>
        <v>Blue Harbor Logistics</v>
      </c>
      <c r="G642" t="str" cm="1">
        <f t="array" ref="G642">_xlfn.IFS(
  ISNUMBER(SEARCH("Core", C642)), "Core Platform",
  ISNUMBER(SEARCH("Analytics", C642)), "Analytics",
  ISNUMBER(SEARCH("Automation", C642)), "Automation"
)</f>
        <v>Core Platform</v>
      </c>
    </row>
    <row r="643" spans="1:7" x14ac:dyDescent="0.35">
      <c r="A643" t="s">
        <v>60</v>
      </c>
      <c r="B643" t="s">
        <v>61</v>
      </c>
      <c r="C643" t="s">
        <v>50</v>
      </c>
      <c r="D643" s="1">
        <v>45689</v>
      </c>
      <c r="E643" s="3">
        <v>18000</v>
      </c>
      <c r="F643" t="str">
        <f>+TRIM(B643)</f>
        <v>Redwood Field Services</v>
      </c>
      <c r="G643" t="str" cm="1">
        <f t="array" ref="G643">_xlfn.IFS(
  ISNUMBER(SEARCH("Core", C643)), "Core Platform",
  ISNUMBER(SEARCH("Analytics", C643)), "Analytics",
  ISNUMBER(SEARCH("Automation", C643)), "Automation"
)</f>
        <v>Automation</v>
      </c>
    </row>
    <row r="644" spans="1:7" x14ac:dyDescent="0.35">
      <c r="A644" t="s">
        <v>91</v>
      </c>
      <c r="B644" t="s">
        <v>92</v>
      </c>
      <c r="C644" t="s">
        <v>16</v>
      </c>
      <c r="D644" s="1">
        <v>45870</v>
      </c>
      <c r="E644" s="3">
        <v>105000</v>
      </c>
      <c r="F644" t="str">
        <f>+TRIM(B644)</f>
        <v>Trailhead Equipment</v>
      </c>
      <c r="G644" t="str" cm="1">
        <f t="array" ref="G644">_xlfn.IFS(
  ISNUMBER(SEARCH("Core", C644)), "Core Platform",
  ISNUMBER(SEARCH("Analytics", C644)), "Analytics",
  ISNUMBER(SEARCH("Automation", C644)), "Automation"
)</f>
        <v>Core Platform</v>
      </c>
    </row>
    <row r="645" spans="1:7" x14ac:dyDescent="0.35">
      <c r="A645" t="s">
        <v>60</v>
      </c>
      <c r="B645" t="s">
        <v>61</v>
      </c>
      <c r="C645" t="s">
        <v>50</v>
      </c>
      <c r="D645" s="1">
        <v>45901</v>
      </c>
      <c r="E645" s="3">
        <v>18000</v>
      </c>
      <c r="F645" t="str">
        <f>+TRIM(B645)</f>
        <v>Redwood Field Services</v>
      </c>
      <c r="G645" t="str" cm="1">
        <f t="array" ref="G645">_xlfn.IFS(
  ISNUMBER(SEARCH("Core", C645)), "Core Platform",
  ISNUMBER(SEARCH("Analytics", C645)), "Analytics",
  ISNUMBER(SEARCH("Automation", C645)), "Automation"
)</f>
        <v>Automation</v>
      </c>
    </row>
    <row r="646" spans="1:7" x14ac:dyDescent="0.35">
      <c r="A646" t="s">
        <v>78</v>
      </c>
      <c r="B646" t="s">
        <v>79</v>
      </c>
      <c r="C646" t="s">
        <v>28</v>
      </c>
      <c r="D646" s="1">
        <v>45962</v>
      </c>
      <c r="E646" s="3">
        <v>49000</v>
      </c>
      <c r="F646" t="str">
        <f>+TRIM(B646)</f>
        <v>Orion Building Systems</v>
      </c>
      <c r="G646" t="str" cm="1">
        <f t="array" ref="G646">_xlfn.IFS(
  ISNUMBER(SEARCH("Core", C646)), "Core Platform",
  ISNUMBER(SEARCH("Analytics", C646)), "Analytics",
  ISNUMBER(SEARCH("Automation", C646)), "Automation"
)</f>
        <v>Core Platform</v>
      </c>
    </row>
    <row r="647" spans="1:7" x14ac:dyDescent="0.35">
      <c r="A647" t="s">
        <v>17</v>
      </c>
      <c r="B647" t="s">
        <v>18</v>
      </c>
      <c r="C647" t="s">
        <v>28</v>
      </c>
      <c r="D647" s="1">
        <v>45627</v>
      </c>
      <c r="E647" s="3">
        <v>90000</v>
      </c>
      <c r="F647" t="str">
        <f>+TRIM(B647)</f>
        <v>Ironclad Security</v>
      </c>
      <c r="G647" t="str" cm="1">
        <f t="array" ref="G647">_xlfn.IFS(
  ISNUMBER(SEARCH("Core", C647)), "Core Platform",
  ISNUMBER(SEARCH("Analytics", C647)), "Analytics",
  ISNUMBER(SEARCH("Automation", C647)), "Automation"
)</f>
        <v>Core Platform</v>
      </c>
    </row>
    <row r="648" spans="1:7" x14ac:dyDescent="0.35">
      <c r="A648" t="s">
        <v>19</v>
      </c>
      <c r="B648" t="s">
        <v>20</v>
      </c>
      <c r="C648" t="s">
        <v>10</v>
      </c>
      <c r="D648" s="1">
        <v>45748</v>
      </c>
      <c r="E648" s="3">
        <v>30000</v>
      </c>
      <c r="F648" t="str">
        <f>+TRIM(B648)</f>
        <v>Granite State Mechanical</v>
      </c>
      <c r="G648" t="str" cm="1">
        <f t="array" ref="G648">_xlfn.IFS(
  ISNUMBER(SEARCH("Core", C648)), "Core Platform",
  ISNUMBER(SEARCH("Analytics", C648)), "Analytics",
  ISNUMBER(SEARCH("Automation", C648)), "Automation"
)</f>
        <v>Analytics</v>
      </c>
    </row>
    <row r="649" spans="1:7" x14ac:dyDescent="0.35">
      <c r="A649" t="s">
        <v>17</v>
      </c>
      <c r="B649" t="s">
        <v>18</v>
      </c>
      <c r="C649" t="s">
        <v>28</v>
      </c>
      <c r="D649" s="1">
        <v>45809</v>
      </c>
      <c r="E649" s="3">
        <v>90000</v>
      </c>
      <c r="F649" t="str">
        <f>+TRIM(B649)</f>
        <v>Ironclad Security</v>
      </c>
      <c r="G649" t="str" cm="1">
        <f t="array" ref="G649">_xlfn.IFS(
  ISNUMBER(SEARCH("Core", C649)), "Core Platform",
  ISNUMBER(SEARCH("Analytics", C649)), "Analytics",
  ISNUMBER(SEARCH("Automation", C649)), "Automation"
)</f>
        <v>Core Platform</v>
      </c>
    </row>
    <row r="650" spans="1:7" x14ac:dyDescent="0.35">
      <c r="A650" t="s">
        <v>87</v>
      </c>
      <c r="B650" t="s">
        <v>88</v>
      </c>
      <c r="C650" t="s">
        <v>28</v>
      </c>
      <c r="D650" s="1">
        <v>45627</v>
      </c>
      <c r="E650" s="3">
        <v>73000</v>
      </c>
      <c r="F650" t="str">
        <f>+TRIM(B650)</f>
        <v>Brightway Solar</v>
      </c>
      <c r="G650" t="str" cm="1">
        <f t="array" ref="G650">_xlfn.IFS(
  ISNUMBER(SEARCH("Core", C650)), "Core Platform",
  ISNUMBER(SEARCH("Analytics", C650)), "Analytics",
  ISNUMBER(SEARCH("Automation", C650)), "Automation"
)</f>
        <v>Core Platform</v>
      </c>
    </row>
    <row r="651" spans="1:7" x14ac:dyDescent="0.35">
      <c r="A651" t="s">
        <v>72</v>
      </c>
      <c r="B651" t="s">
        <v>73</v>
      </c>
      <c r="C651" t="s">
        <v>10</v>
      </c>
      <c r="D651" s="1">
        <v>45748</v>
      </c>
      <c r="E651" s="3">
        <v>27000</v>
      </c>
      <c r="F651" t="str">
        <f>+TRIM(B651)</f>
        <v>Northwind Trading</v>
      </c>
      <c r="G651" t="str" cm="1">
        <f t="array" ref="G651">_xlfn.IFS(
  ISNUMBER(SEARCH("Core", C651)), "Core Platform",
  ISNUMBER(SEARCH("Analytics", C651)), "Analytics",
  ISNUMBER(SEARCH("Automation", C651)), "Automation"
)</f>
        <v>Analytics</v>
      </c>
    </row>
    <row r="652" spans="1:7" x14ac:dyDescent="0.35">
      <c r="A652" t="s">
        <v>17</v>
      </c>
      <c r="B652" t="s">
        <v>18</v>
      </c>
      <c r="C652" t="s">
        <v>21</v>
      </c>
      <c r="D652" s="1">
        <v>45748</v>
      </c>
      <c r="E652" s="3">
        <v>10000</v>
      </c>
      <c r="F652" t="str">
        <f>+TRIM(B652)</f>
        <v>Ironclad Security</v>
      </c>
      <c r="G652" t="str" cm="1">
        <f t="array" ref="G652">_xlfn.IFS(
  ISNUMBER(SEARCH("Core", C652)), "Core Platform",
  ISNUMBER(SEARCH("Analytics", C652)), "Analytics",
  ISNUMBER(SEARCH("Automation", C652)), "Automation"
)</f>
        <v>Automation</v>
      </c>
    </row>
    <row r="653" spans="1:7" x14ac:dyDescent="0.35">
      <c r="A653" t="s">
        <v>19</v>
      </c>
      <c r="B653" t="s">
        <v>20</v>
      </c>
      <c r="C653" t="s">
        <v>21</v>
      </c>
      <c r="D653" s="1">
        <v>45689</v>
      </c>
      <c r="E653" s="3">
        <v>10000</v>
      </c>
      <c r="F653" t="str">
        <f>+TRIM(B653)</f>
        <v>Granite State Mechanical</v>
      </c>
      <c r="G653" t="str" cm="1">
        <f t="array" ref="G653">_xlfn.IFS(
  ISNUMBER(SEARCH("Core", C653)), "Core Platform",
  ISNUMBER(SEARCH("Analytics", C653)), "Analytics",
  ISNUMBER(SEARCH("Automation", C653)), "Automation"
)</f>
        <v>Automation</v>
      </c>
    </row>
    <row r="654" spans="1:7" x14ac:dyDescent="0.35">
      <c r="A654" t="s">
        <v>60</v>
      </c>
      <c r="B654" t="s">
        <v>61</v>
      </c>
      <c r="C654" t="s">
        <v>21</v>
      </c>
      <c r="D654" s="1">
        <v>45748</v>
      </c>
      <c r="E654" s="3">
        <v>18000</v>
      </c>
      <c r="F654" t="str">
        <f>+TRIM(B654)</f>
        <v>Redwood Field Services</v>
      </c>
      <c r="G654" t="str" cm="1">
        <f t="array" ref="G654">_xlfn.IFS(
  ISNUMBER(SEARCH("Core", C654)), "Core Platform",
  ISNUMBER(SEARCH("Analytics", C654)), "Analytics",
  ISNUMBER(SEARCH("Automation", C654)), "Automation"
)</f>
        <v>Automation</v>
      </c>
    </row>
    <row r="655" spans="1:7" x14ac:dyDescent="0.35">
      <c r="A655" t="s">
        <v>39</v>
      </c>
      <c r="B655" t="s">
        <v>40</v>
      </c>
      <c r="C655" t="s">
        <v>28</v>
      </c>
      <c r="D655" s="1">
        <v>45901</v>
      </c>
      <c r="E655" s="3">
        <v>60000</v>
      </c>
      <c r="F655" t="str">
        <f>+TRIM(B655)</f>
        <v>Foundry Industrial</v>
      </c>
      <c r="G655" t="str" cm="1">
        <f t="array" ref="G655">_xlfn.IFS(
  ISNUMBER(SEARCH("Core", C655)), "Core Platform",
  ISNUMBER(SEARCH("Analytics", C655)), "Analytics",
  ISNUMBER(SEARCH("Automation", C655)), "Automation"
)</f>
        <v>Core Platform</v>
      </c>
    </row>
    <row r="656" spans="1:7" x14ac:dyDescent="0.35">
      <c r="A656" t="s">
        <v>78</v>
      </c>
      <c r="B656" t="s">
        <v>79</v>
      </c>
      <c r="C656" t="s">
        <v>10</v>
      </c>
      <c r="D656" s="1">
        <v>45962</v>
      </c>
      <c r="E656" s="3">
        <v>17000</v>
      </c>
      <c r="F656" t="str">
        <f>+TRIM(B656)</f>
        <v>Orion Building Systems</v>
      </c>
      <c r="G656" t="str" cm="1">
        <f t="array" ref="G656">_xlfn.IFS(
  ISNUMBER(SEARCH("Core", C656)), "Core Platform",
  ISNUMBER(SEARCH("Analytics", C656)), "Analytics",
  ISNUMBER(SEARCH("Automation", C656)), "Automation"
)</f>
        <v>Analytics</v>
      </c>
    </row>
    <row r="657" spans="1:7" x14ac:dyDescent="0.35">
      <c r="A657" t="s">
        <v>8</v>
      </c>
      <c r="B657" t="s">
        <v>9</v>
      </c>
      <c r="C657" t="s">
        <v>13</v>
      </c>
      <c r="D657" s="1">
        <v>45992</v>
      </c>
      <c r="E657" s="3">
        <v>17000</v>
      </c>
      <c r="F657" t="str">
        <f>+TRIM(B657)</f>
        <v>Cobalt Networks</v>
      </c>
      <c r="G657" t="str" cm="1">
        <f t="array" ref="G657">_xlfn.IFS(
  ISNUMBER(SEARCH("Core", C657)), "Core Platform",
  ISNUMBER(SEARCH("Analytics", C657)), "Analytics",
  ISNUMBER(SEARCH("Automation", C657)), "Automation"
)</f>
        <v>Automation</v>
      </c>
    </row>
    <row r="658" spans="1:7" x14ac:dyDescent="0.35">
      <c r="A658" t="s">
        <v>41</v>
      </c>
      <c r="B658" t="s">
        <v>42</v>
      </c>
      <c r="C658" t="s">
        <v>13</v>
      </c>
      <c r="D658" s="1">
        <v>45839</v>
      </c>
      <c r="E658" s="3">
        <v>22000</v>
      </c>
      <c r="F658" t="str">
        <f>+TRIM(B658)</f>
        <v>Delta Refrigeration</v>
      </c>
      <c r="G658" t="str" cm="1">
        <f t="array" ref="G658">_xlfn.IFS(
  ISNUMBER(SEARCH("Core", C658)), "Core Platform",
  ISNUMBER(SEARCH("Analytics", C658)), "Analytics",
  ISNUMBER(SEARCH("Automation", C658)), "Automation"
)</f>
        <v>Automation</v>
      </c>
    </row>
    <row r="659" spans="1:7" x14ac:dyDescent="0.35">
      <c r="A659" t="s">
        <v>55</v>
      </c>
      <c r="B659" t="s">
        <v>56</v>
      </c>
      <c r="C659" t="s">
        <v>28</v>
      </c>
      <c r="D659" s="1">
        <v>45962</v>
      </c>
      <c r="E659" s="3">
        <v>87000</v>
      </c>
      <c r="F659" t="str">
        <f>+TRIM(B659)</f>
        <v>Quartz Data Centers</v>
      </c>
      <c r="G659" t="str" cm="1">
        <f t="array" ref="G659">_xlfn.IFS(
  ISNUMBER(SEARCH("Core", C659)), "Core Platform",
  ISNUMBER(SEARCH("Analytics", C659)), "Analytics",
  ISNUMBER(SEARCH("Automation", C659)), "Automation"
)</f>
        <v>Core Platform</v>
      </c>
    </row>
    <row r="660" spans="1:7" x14ac:dyDescent="0.35">
      <c r="A660" t="s">
        <v>26</v>
      </c>
      <c r="B660" t="s">
        <v>27</v>
      </c>
      <c r="C660" t="s">
        <v>21</v>
      </c>
      <c r="D660" s="1">
        <v>45901</v>
      </c>
      <c r="E660" s="3">
        <v>10000</v>
      </c>
      <c r="F660" t="str">
        <f>+TRIM(B660)</f>
        <v>Blue Harbor Logistics</v>
      </c>
      <c r="G660" t="str" cm="1">
        <f t="array" ref="G660">_xlfn.IFS(
  ISNUMBER(SEARCH("Core", C660)), "Core Platform",
  ISNUMBER(SEARCH("Analytics", C660)), "Analytics",
  ISNUMBER(SEARCH("Automation", C660)), "Automation"
)</f>
        <v>Automation</v>
      </c>
    </row>
    <row r="661" spans="1:7" x14ac:dyDescent="0.35">
      <c r="A661" t="s">
        <v>43</v>
      </c>
      <c r="B661" t="s">
        <v>44</v>
      </c>
      <c r="C661" t="s">
        <v>10</v>
      </c>
      <c r="D661" s="1">
        <v>45870</v>
      </c>
      <c r="E661" s="3">
        <v>22000</v>
      </c>
      <c r="F661" t="str">
        <f>+TRIM(B661)</f>
        <v>Harborview Plumbing</v>
      </c>
      <c r="G661" t="str" cm="1">
        <f t="array" ref="G661">_xlfn.IFS(
  ISNUMBER(SEARCH("Core", C661)), "Core Platform",
  ISNUMBER(SEARCH("Analytics", C661)), "Analytics",
  ISNUMBER(SEARCH("Automation", C661)), "Automation"
)</f>
        <v>Analytics</v>
      </c>
    </row>
    <row r="662" spans="1:7" x14ac:dyDescent="0.35">
      <c r="A662" t="s">
        <v>5</v>
      </c>
      <c r="B662" t="s">
        <v>6</v>
      </c>
      <c r="C662" t="s">
        <v>16</v>
      </c>
      <c r="D662" s="1">
        <v>45717</v>
      </c>
      <c r="E662" s="3">
        <v>85000</v>
      </c>
      <c r="F662" t="str">
        <f>+TRIM(B662)</f>
        <v>Meridian Water Group</v>
      </c>
      <c r="G662" t="str" cm="1">
        <f t="array" ref="G662">_xlfn.IFS(
  ISNUMBER(SEARCH("Core", C662)), "Core Platform",
  ISNUMBER(SEARCH("Analytics", C662)), "Analytics",
  ISNUMBER(SEARCH("Automation", C662)), "Automation"
)</f>
        <v>Core Platform</v>
      </c>
    </row>
    <row r="663" spans="1:7" x14ac:dyDescent="0.35">
      <c r="A663" t="s">
        <v>70</v>
      </c>
      <c r="B663" t="s">
        <v>71</v>
      </c>
      <c r="C663" t="s">
        <v>21</v>
      </c>
      <c r="D663" s="1">
        <v>45658</v>
      </c>
      <c r="E663" s="3">
        <v>9000</v>
      </c>
      <c r="F663" t="str">
        <f>+TRIM(B663)</f>
        <v>Vertex Manufacturing</v>
      </c>
      <c r="G663" t="str" cm="1">
        <f t="array" ref="G663">_xlfn.IFS(
  ISNUMBER(SEARCH("Core", C663)), "Core Platform",
  ISNUMBER(SEARCH("Analytics", C663)), "Analytics",
  ISNUMBER(SEARCH("Automation", C663)), "Automation"
)</f>
        <v>Automation</v>
      </c>
    </row>
    <row r="664" spans="1:7" x14ac:dyDescent="0.35">
      <c r="A664" t="s">
        <v>53</v>
      </c>
      <c r="B664" t="s">
        <v>54</v>
      </c>
      <c r="C664" t="s">
        <v>65</v>
      </c>
      <c r="D664" s="1">
        <v>45870</v>
      </c>
      <c r="E664" s="3">
        <v>35000</v>
      </c>
      <c r="F664" t="str">
        <f>+TRIM(B664)</f>
        <v>Maple Grove Maintenance</v>
      </c>
      <c r="G664" t="str" cm="1">
        <f t="array" ref="G664">_xlfn.IFS(
  ISNUMBER(SEARCH("Core", C664)), "Core Platform",
  ISNUMBER(SEARCH("Analytics", C664)), "Analytics",
  ISNUMBER(SEARCH("Automation", C664)), "Automation"
)</f>
        <v>Analytics</v>
      </c>
    </row>
    <row r="665" spans="1:7" x14ac:dyDescent="0.35">
      <c r="A665" t="s">
        <v>8</v>
      </c>
      <c r="B665" t="s">
        <v>9</v>
      </c>
      <c r="C665" t="s">
        <v>16</v>
      </c>
      <c r="D665" s="1">
        <v>45748</v>
      </c>
      <c r="E665" s="3">
        <v>70000</v>
      </c>
      <c r="F665" t="str">
        <f>+TRIM(B665)</f>
        <v>Cobalt Networks</v>
      </c>
      <c r="G665" t="str" cm="1">
        <f t="array" ref="G665">_xlfn.IFS(
  ISNUMBER(SEARCH("Core", C665)), "Core Platform",
  ISNUMBER(SEARCH("Analytics", C665)), "Analytics",
  ISNUMBER(SEARCH("Automation", C665)), "Automation"
)</f>
        <v>Core Platform</v>
      </c>
    </row>
    <row r="666" spans="1:7" x14ac:dyDescent="0.35">
      <c r="A666" t="s">
        <v>48</v>
      </c>
      <c r="B666" t="s">
        <v>49</v>
      </c>
      <c r="C666" t="s">
        <v>50</v>
      </c>
      <c r="D666" s="1">
        <v>45931</v>
      </c>
      <c r="E666" s="3">
        <v>11000</v>
      </c>
      <c r="F666" t="str">
        <f>+TRIM(B666)</f>
        <v>Lakeside Energy</v>
      </c>
      <c r="G666" t="str" cm="1">
        <f t="array" ref="G666">_xlfn.IFS(
  ISNUMBER(SEARCH("Core", C666)), "Core Platform",
  ISNUMBER(SEARCH("Analytics", C666)), "Analytics",
  ISNUMBER(SEARCH("Automation", C666)), "Automation"
)</f>
        <v>Automation</v>
      </c>
    </row>
    <row r="667" spans="1:7" x14ac:dyDescent="0.35">
      <c r="A667" t="s">
        <v>39</v>
      </c>
      <c r="B667" t="s">
        <v>40</v>
      </c>
      <c r="C667" t="s">
        <v>21</v>
      </c>
      <c r="D667" s="1">
        <v>45931</v>
      </c>
      <c r="E667" s="3">
        <v>19000</v>
      </c>
      <c r="F667" t="str">
        <f>+TRIM(B667)</f>
        <v>Foundry Industrial</v>
      </c>
      <c r="G667" t="str" cm="1">
        <f t="array" ref="G667">_xlfn.IFS(
  ISNUMBER(SEARCH("Core", C667)), "Core Platform",
  ISNUMBER(SEARCH("Analytics", C667)), "Analytics",
  ISNUMBER(SEARCH("Automation", C667)), "Automation"
)</f>
        <v>Automation</v>
      </c>
    </row>
    <row r="668" spans="1:7" x14ac:dyDescent="0.35">
      <c r="A668" t="s">
        <v>11</v>
      </c>
      <c r="B668" t="s">
        <v>59</v>
      </c>
      <c r="C668" t="s">
        <v>16</v>
      </c>
      <c r="D668" s="1">
        <v>45901</v>
      </c>
      <c r="E668" s="3">
        <v>118000</v>
      </c>
      <c r="F668" t="str">
        <f>+TRIM(B668)</f>
        <v>Pinecrest Property</v>
      </c>
      <c r="G668" t="str" cm="1">
        <f t="array" ref="G668">_xlfn.IFS(
  ISNUMBER(SEARCH("Core", C668)), "Core Platform",
  ISNUMBER(SEARCH("Analytics", C668)), "Analytics",
  ISNUMBER(SEARCH("Automation", C668)), "Automation"
)</f>
        <v>Core Platform</v>
      </c>
    </row>
    <row r="669" spans="1:7" x14ac:dyDescent="0.35">
      <c r="A669" t="s">
        <v>72</v>
      </c>
      <c r="B669" t="s">
        <v>73</v>
      </c>
      <c r="C669" t="s">
        <v>16</v>
      </c>
      <c r="D669" s="1">
        <v>45901</v>
      </c>
      <c r="E669" s="3">
        <v>117000</v>
      </c>
      <c r="F669" t="str">
        <f>+TRIM(B669)</f>
        <v>Northwind Trading</v>
      </c>
      <c r="G669" t="str" cm="1">
        <f t="array" ref="G669">_xlfn.IFS(
  ISNUMBER(SEARCH("Core", C669)), "Core Platform",
  ISNUMBER(SEARCH("Analytics", C669)), "Analytics",
  ISNUMBER(SEARCH("Automation", C669)), "Automation"
)</f>
        <v>Core Platform</v>
      </c>
    </row>
    <row r="670" spans="1:7" x14ac:dyDescent="0.35">
      <c r="A670" t="s">
        <v>41</v>
      </c>
      <c r="B670" t="s">
        <v>42</v>
      </c>
      <c r="C670" t="s">
        <v>21</v>
      </c>
      <c r="D670" s="1">
        <v>45778</v>
      </c>
      <c r="E670" s="3">
        <v>22000</v>
      </c>
      <c r="F670" t="str">
        <f>+TRIM(B670)</f>
        <v>Delta Refrigeration</v>
      </c>
      <c r="G670" t="str" cm="1">
        <f t="array" ref="G670">_xlfn.IFS(
  ISNUMBER(SEARCH("Core", C670)), "Core Platform",
  ISNUMBER(SEARCH("Analytics", C670)), "Analytics",
  ISNUMBER(SEARCH("Automation", C670)), "Automation"
)</f>
        <v>Automation</v>
      </c>
    </row>
    <row r="671" spans="1:7" x14ac:dyDescent="0.35">
      <c r="A671" t="s">
        <v>72</v>
      </c>
      <c r="B671" t="s">
        <v>73</v>
      </c>
      <c r="C671" t="s">
        <v>28</v>
      </c>
      <c r="D671" s="1">
        <v>45658</v>
      </c>
      <c r="E671" s="3">
        <v>117000</v>
      </c>
      <c r="F671" t="str">
        <f>+TRIM(B671)</f>
        <v>Northwind Trading</v>
      </c>
      <c r="G671" t="str" cm="1">
        <f t="array" ref="G671">_xlfn.IFS(
  ISNUMBER(SEARCH("Core", C671)), "Core Platform",
  ISNUMBER(SEARCH("Analytics", C671)), "Analytics",
  ISNUMBER(SEARCH("Automation", C671)), "Automation"
)</f>
        <v>Core Platform</v>
      </c>
    </row>
    <row r="672" spans="1:7" x14ac:dyDescent="0.35">
      <c r="A672" t="s">
        <v>39</v>
      </c>
      <c r="B672" t="s">
        <v>40</v>
      </c>
      <c r="C672" t="s">
        <v>13</v>
      </c>
      <c r="D672" s="1">
        <v>45809</v>
      </c>
      <c r="E672" s="3">
        <v>19000</v>
      </c>
      <c r="F672" t="str">
        <f>+TRIM(B672)</f>
        <v>Foundry Industrial</v>
      </c>
      <c r="G672" t="str" cm="1">
        <f t="array" ref="G672">_xlfn.IFS(
  ISNUMBER(SEARCH("Core", C672)), "Core Platform",
  ISNUMBER(SEARCH("Analytics", C672)), "Analytics",
  ISNUMBER(SEARCH("Automation", C672)), "Automation"
)</f>
        <v>Automation</v>
      </c>
    </row>
    <row r="673" spans="1:7" x14ac:dyDescent="0.35">
      <c r="A673" t="s">
        <v>22</v>
      </c>
      <c r="B673" t="s">
        <v>23</v>
      </c>
      <c r="C673" t="s">
        <v>65</v>
      </c>
      <c r="D673" s="1">
        <v>45809</v>
      </c>
      <c r="E673" s="3">
        <v>15000</v>
      </c>
      <c r="F673" t="str">
        <f>+TRIM(B673)</f>
        <v>Ridgeline HVAC</v>
      </c>
      <c r="G673" t="str" cm="1">
        <f t="array" ref="G673">_xlfn.IFS(
  ISNUMBER(SEARCH("Core", C673)), "Core Platform",
  ISNUMBER(SEARCH("Analytics", C673)), "Analytics",
  ISNUMBER(SEARCH("Automation", C673)), "Automation"
)</f>
        <v>Analytics</v>
      </c>
    </row>
    <row r="674" spans="1:7" x14ac:dyDescent="0.35">
      <c r="A674" t="s">
        <v>24</v>
      </c>
      <c r="B674" t="s">
        <v>45</v>
      </c>
      <c r="C674" t="s">
        <v>10</v>
      </c>
      <c r="D674" s="1">
        <v>45962</v>
      </c>
      <c r="E674" s="3">
        <v>38000</v>
      </c>
      <c r="F674" t="str">
        <f>+TRIM(B674)</f>
        <v>Kestrel Telecom</v>
      </c>
      <c r="G674" t="str" cm="1">
        <f t="array" ref="G674">_xlfn.IFS(
  ISNUMBER(SEARCH("Core", C674)), "Core Platform",
  ISNUMBER(SEARCH("Analytics", C674)), "Analytics",
  ISNUMBER(SEARCH("Automation", C674)), "Automation"
)</f>
        <v>Analytics</v>
      </c>
    </row>
    <row r="675" spans="1:7" x14ac:dyDescent="0.35">
      <c r="A675" t="s">
        <v>91</v>
      </c>
      <c r="B675" t="s">
        <v>92</v>
      </c>
      <c r="C675" t="s">
        <v>50</v>
      </c>
      <c r="D675" s="1">
        <v>45962</v>
      </c>
      <c r="E675" s="3">
        <v>23000</v>
      </c>
      <c r="F675" t="str">
        <f>+TRIM(B675)</f>
        <v>Trailhead Equipment</v>
      </c>
      <c r="G675" t="str" cm="1">
        <f t="array" ref="G675">_xlfn.IFS(
  ISNUMBER(SEARCH("Core", C675)), "Core Platform",
  ISNUMBER(SEARCH("Analytics", C675)), "Analytics",
  ISNUMBER(SEARCH("Automation", C675)), "Automation"
)</f>
        <v>Automation</v>
      </c>
    </row>
    <row r="676" spans="1:7" x14ac:dyDescent="0.35">
      <c r="A676" t="s">
        <v>43</v>
      </c>
      <c r="B676" t="s">
        <v>44</v>
      </c>
      <c r="C676" t="s">
        <v>7</v>
      </c>
      <c r="D676" s="1">
        <v>45962</v>
      </c>
      <c r="E676" s="3">
        <v>22000</v>
      </c>
      <c r="F676" t="str">
        <f>+TRIM(B676)</f>
        <v>Harborview Plumbing</v>
      </c>
      <c r="G676" t="str" cm="1">
        <f t="array" ref="G676">_xlfn.IFS(
  ISNUMBER(SEARCH("Core", C676)), "Core Platform",
  ISNUMBER(SEARCH("Analytics", C676)), "Analytics",
  ISNUMBER(SEARCH("Automation", C676)), "Automation"
)</f>
        <v>Analytics</v>
      </c>
    </row>
    <row r="677" spans="1:7" x14ac:dyDescent="0.35">
      <c r="A677" t="s">
        <v>72</v>
      </c>
      <c r="B677" t="s">
        <v>73</v>
      </c>
      <c r="C677" t="s">
        <v>21</v>
      </c>
      <c r="D677" s="1">
        <v>45870</v>
      </c>
      <c r="E677" s="3">
        <v>16000</v>
      </c>
      <c r="F677" t="str">
        <f>+TRIM(B677)</f>
        <v>Northwind Trading</v>
      </c>
      <c r="G677" t="str" cm="1">
        <f t="array" ref="G677">_xlfn.IFS(
  ISNUMBER(SEARCH("Core", C677)), "Core Platform",
  ISNUMBER(SEARCH("Analytics", C677)), "Analytics",
  ISNUMBER(SEARCH("Automation", C677)), "Automation"
)</f>
        <v>Automation</v>
      </c>
    </row>
    <row r="678" spans="1:7" x14ac:dyDescent="0.35">
      <c r="A678" t="s">
        <v>29</v>
      </c>
      <c r="B678" t="s">
        <v>46</v>
      </c>
      <c r="C678" t="s">
        <v>16</v>
      </c>
      <c r="D678" s="1">
        <v>45689</v>
      </c>
      <c r="E678" s="3">
        <v>60000</v>
      </c>
      <c r="F678" t="str">
        <f>+TRIM(B678)</f>
        <v>Atlas Elevator Co</v>
      </c>
      <c r="G678" t="str" cm="1">
        <f t="array" ref="G678">_xlfn.IFS(
  ISNUMBER(SEARCH("Core", C678)), "Core Platform",
  ISNUMBER(SEARCH("Analytics", C678)), "Analytics",
  ISNUMBER(SEARCH("Automation", C678)), "Automation"
)</f>
        <v>Core Platform</v>
      </c>
    </row>
    <row r="679" spans="1:7" x14ac:dyDescent="0.35">
      <c r="A679" t="s">
        <v>24</v>
      </c>
      <c r="B679" t="s">
        <v>45</v>
      </c>
      <c r="C679" t="s">
        <v>13</v>
      </c>
      <c r="D679" s="1">
        <v>45992</v>
      </c>
      <c r="E679" s="3">
        <v>22000</v>
      </c>
      <c r="F679" t="str">
        <f>+TRIM(B679)</f>
        <v>Kestrel Telecom</v>
      </c>
      <c r="G679" t="str" cm="1">
        <f t="array" ref="G679">_xlfn.IFS(
  ISNUMBER(SEARCH("Core", C679)), "Core Platform",
  ISNUMBER(SEARCH("Analytics", C679)), "Analytics",
  ISNUMBER(SEARCH("Automation", C679)), "Automation"
)</f>
        <v>Automation</v>
      </c>
    </row>
    <row r="680" spans="1:7" x14ac:dyDescent="0.35">
      <c r="A680" t="s">
        <v>35</v>
      </c>
      <c r="B680" t="s">
        <v>81</v>
      </c>
      <c r="C680" t="s">
        <v>28</v>
      </c>
      <c r="D680" s="1">
        <v>45901</v>
      </c>
      <c r="E680" s="3">
        <v>33000</v>
      </c>
      <c r="F680" t="str">
        <f>+TRIM(B680)</f>
        <v>Halcyon Pharma</v>
      </c>
      <c r="G680" t="str" cm="1">
        <f t="array" ref="G680">_xlfn.IFS(
  ISNUMBER(SEARCH("Core", C680)), "Core Platform",
  ISNUMBER(SEARCH("Analytics", C680)), "Analytics",
  ISNUMBER(SEARCH("Automation", C680)), "Automation"
)</f>
        <v>Core Platform</v>
      </c>
    </row>
    <row r="681" spans="1:7" x14ac:dyDescent="0.35">
      <c r="A681" t="s">
        <v>17</v>
      </c>
      <c r="B681" t="s">
        <v>18</v>
      </c>
      <c r="C681" t="s">
        <v>16</v>
      </c>
      <c r="D681" s="1">
        <v>45658</v>
      </c>
      <c r="E681" s="3">
        <v>90000</v>
      </c>
      <c r="F681" t="str">
        <f>+TRIM(B681)</f>
        <v>Ironclad Security</v>
      </c>
      <c r="G681" t="str" cm="1">
        <f t="array" ref="G681">_xlfn.IFS(
  ISNUMBER(SEARCH("Core", C681)), "Core Platform",
  ISNUMBER(SEARCH("Analytics", C681)), "Analytics",
  ISNUMBER(SEARCH("Automation", C681)), "Automation"
)</f>
        <v>Core Platform</v>
      </c>
    </row>
    <row r="682" spans="1:7" x14ac:dyDescent="0.35">
      <c r="A682" t="s">
        <v>24</v>
      </c>
      <c r="B682" t="s">
        <v>45</v>
      </c>
      <c r="C682" t="s">
        <v>21</v>
      </c>
      <c r="D682" s="1">
        <v>45748</v>
      </c>
      <c r="E682" s="3">
        <v>22000</v>
      </c>
      <c r="F682" t="str">
        <f>+TRIM(B682)</f>
        <v>Kestrel Telecom</v>
      </c>
      <c r="G682" t="str" cm="1">
        <f t="array" ref="G682">_xlfn.IFS(
  ISNUMBER(SEARCH("Core", C682)), "Core Platform",
  ISNUMBER(SEARCH("Analytics", C682)), "Analytics",
  ISNUMBER(SEARCH("Automation", C682)), "Automation"
)</f>
        <v>Automation</v>
      </c>
    </row>
    <row r="683" spans="1:7" x14ac:dyDescent="0.35">
      <c r="A683" t="s">
        <v>43</v>
      </c>
      <c r="B683" t="s">
        <v>44</v>
      </c>
      <c r="C683" t="s">
        <v>21</v>
      </c>
      <c r="D683" s="1">
        <v>45992</v>
      </c>
      <c r="E683" s="3">
        <v>27000</v>
      </c>
      <c r="F683" t="str">
        <f>+TRIM(B683)</f>
        <v>Harborview Plumbing</v>
      </c>
      <c r="G683" t="str" cm="1">
        <f t="array" ref="G683">_xlfn.IFS(
  ISNUMBER(SEARCH("Core", C683)), "Core Platform",
  ISNUMBER(SEARCH("Analytics", C683)), "Analytics",
  ISNUMBER(SEARCH("Automation", C683)), "Automation"
)</f>
        <v>Automation</v>
      </c>
    </row>
    <row r="684" spans="1:7" x14ac:dyDescent="0.35">
      <c r="A684" t="s">
        <v>60</v>
      </c>
      <c r="B684" t="s">
        <v>61</v>
      </c>
      <c r="C684" t="s">
        <v>10</v>
      </c>
      <c r="D684" s="1">
        <v>45962</v>
      </c>
      <c r="E684" s="3">
        <v>23000</v>
      </c>
      <c r="F684" t="str">
        <f>+TRIM(B684)</f>
        <v>Redwood Field Services</v>
      </c>
      <c r="G684" t="str" cm="1">
        <f t="array" ref="G684">_xlfn.IFS(
  ISNUMBER(SEARCH("Core", C684)), "Core Platform",
  ISNUMBER(SEARCH("Analytics", C684)), "Analytics",
  ISNUMBER(SEARCH("Automation", C684)), "Automation"
)</f>
        <v>Analytics</v>
      </c>
    </row>
    <row r="685" spans="1:7" x14ac:dyDescent="0.35">
      <c r="A685" t="s">
        <v>19</v>
      </c>
      <c r="B685" t="s">
        <v>20</v>
      </c>
      <c r="C685" t="s">
        <v>10</v>
      </c>
      <c r="D685" s="1">
        <v>45627</v>
      </c>
      <c r="E685" s="3">
        <v>30000</v>
      </c>
      <c r="F685" t="str">
        <f>+TRIM(B685)</f>
        <v>Granite State Mechanical</v>
      </c>
      <c r="G685" t="str" cm="1">
        <f t="array" ref="G685">_xlfn.IFS(
  ISNUMBER(SEARCH("Core", C685)), "Core Platform",
  ISNUMBER(SEARCH("Analytics", C685)), "Analytics",
  ISNUMBER(SEARCH("Automation", C685)), "Automation"
)</f>
        <v>Analytics</v>
      </c>
    </row>
    <row r="686" spans="1:7" x14ac:dyDescent="0.35">
      <c r="A686" t="s">
        <v>62</v>
      </c>
      <c r="B686" t="s">
        <v>63</v>
      </c>
      <c r="C686" t="s">
        <v>28</v>
      </c>
      <c r="D686" s="1">
        <v>45870</v>
      </c>
      <c r="E686" s="3">
        <v>46000</v>
      </c>
      <c r="F686" t="str">
        <f>+TRIM(B686)</f>
        <v>Copperfield Electrical</v>
      </c>
      <c r="G686" t="str" cm="1">
        <f t="array" ref="G686">_xlfn.IFS(
  ISNUMBER(SEARCH("Core", C686)), "Core Platform",
  ISNUMBER(SEARCH("Analytics", C686)), "Analytics",
  ISNUMBER(SEARCH("Automation", C686)), "Automation"
)</f>
        <v>Core Platform</v>
      </c>
    </row>
    <row r="687" spans="1:7" x14ac:dyDescent="0.35">
      <c r="A687" t="s">
        <v>51</v>
      </c>
      <c r="B687" t="s">
        <v>52</v>
      </c>
      <c r="C687" t="s">
        <v>50</v>
      </c>
      <c r="D687" s="1">
        <v>45689</v>
      </c>
      <c r="E687" s="3">
        <v>21000</v>
      </c>
      <c r="F687" t="str">
        <f>+TRIM(B687)</f>
        <v>Cedar Peak Utilities</v>
      </c>
      <c r="G687" t="str" cm="1">
        <f t="array" ref="G687">_xlfn.IFS(
  ISNUMBER(SEARCH("Core", C687)), "Core Platform",
  ISNUMBER(SEARCH("Analytics", C687)), "Analytics",
  ISNUMBER(SEARCH("Automation", C687)), "Automation"
)</f>
        <v>Automation</v>
      </c>
    </row>
    <row r="688" spans="1:7" x14ac:dyDescent="0.35">
      <c r="A688" t="s">
        <v>62</v>
      </c>
      <c r="B688" t="s">
        <v>63</v>
      </c>
      <c r="C688" t="s">
        <v>16</v>
      </c>
      <c r="D688" s="1">
        <v>45717</v>
      </c>
      <c r="E688" s="3">
        <v>62000</v>
      </c>
      <c r="F688" t="str">
        <f>+TRIM(B688)</f>
        <v>Copperfield Electrical</v>
      </c>
      <c r="G688" t="str" cm="1">
        <f t="array" ref="G688">_xlfn.IFS(
  ISNUMBER(SEARCH("Core", C688)), "Core Platform",
  ISNUMBER(SEARCH("Analytics", C688)), "Analytics",
  ISNUMBER(SEARCH("Automation", C688)), "Automation"
)</f>
        <v>Core Platform</v>
      </c>
    </row>
    <row r="689" spans="1:7" x14ac:dyDescent="0.35">
      <c r="A689" t="s">
        <v>19</v>
      </c>
      <c r="B689" t="s">
        <v>20</v>
      </c>
      <c r="C689" t="s">
        <v>28</v>
      </c>
      <c r="D689" s="1">
        <v>45870</v>
      </c>
      <c r="E689" s="3">
        <v>79000</v>
      </c>
      <c r="F689" t="str">
        <f>+TRIM(B689)</f>
        <v>Granite State Mechanical</v>
      </c>
      <c r="G689" t="str" cm="1">
        <f t="array" ref="G689">_xlfn.IFS(
  ISNUMBER(SEARCH("Core", C689)), "Core Platform",
  ISNUMBER(SEARCH("Analytics", C689)), "Analytics",
  ISNUMBER(SEARCH("Automation", C689)), "Automation"
)</f>
        <v>Core Platform</v>
      </c>
    </row>
    <row r="690" spans="1:7" x14ac:dyDescent="0.35">
      <c r="A690" t="s">
        <v>11</v>
      </c>
      <c r="B690" t="s">
        <v>59</v>
      </c>
      <c r="C690" t="s">
        <v>65</v>
      </c>
      <c r="D690" s="1">
        <v>45809</v>
      </c>
      <c r="E690" s="3">
        <v>39000</v>
      </c>
      <c r="F690" t="str">
        <f>+TRIM(B690)</f>
        <v>Pinecrest Property</v>
      </c>
      <c r="G690" t="str" cm="1">
        <f t="array" ref="G690">_xlfn.IFS(
  ISNUMBER(SEARCH("Core", C690)), "Core Platform",
  ISNUMBER(SEARCH("Analytics", C690)), "Analytics",
  ISNUMBER(SEARCH("Automation", C690)), "Automation"
)</f>
        <v>Analytics</v>
      </c>
    </row>
    <row r="691" spans="1:7" x14ac:dyDescent="0.35">
      <c r="A691" t="s">
        <v>70</v>
      </c>
      <c r="B691" t="s">
        <v>71</v>
      </c>
      <c r="C691" t="s">
        <v>16</v>
      </c>
      <c r="D691" s="1">
        <v>45717</v>
      </c>
      <c r="E691" s="3">
        <v>85000</v>
      </c>
      <c r="F691" t="str">
        <f>+TRIM(B691)</f>
        <v>Vertex Manufacturing</v>
      </c>
      <c r="G691" t="str" cm="1">
        <f t="array" ref="G691">_xlfn.IFS(
  ISNUMBER(SEARCH("Core", C691)), "Core Platform",
  ISNUMBER(SEARCH("Analytics", C691)), "Analytics",
  ISNUMBER(SEARCH("Automation", C691)), "Automation"
)</f>
        <v>Core Platform</v>
      </c>
    </row>
    <row r="692" spans="1:7" x14ac:dyDescent="0.35">
      <c r="A692" t="s">
        <v>53</v>
      </c>
      <c r="B692" t="s">
        <v>54</v>
      </c>
      <c r="C692" t="s">
        <v>28</v>
      </c>
      <c r="D692" s="1">
        <v>45627</v>
      </c>
      <c r="E692" s="3">
        <v>63000</v>
      </c>
      <c r="F692" t="str">
        <f>+TRIM(B692)</f>
        <v>Maple Grove Maintenance</v>
      </c>
      <c r="G692" t="str" cm="1">
        <f t="array" ref="G692">_xlfn.IFS(
  ISNUMBER(SEARCH("Core", C692)), "Core Platform",
  ISNUMBER(SEARCH("Analytics", C692)), "Analytics",
  ISNUMBER(SEARCH("Automation", C692)), "Automation"
)</f>
        <v>Core Platform</v>
      </c>
    </row>
    <row r="693" spans="1:7" x14ac:dyDescent="0.35">
      <c r="A693" t="s">
        <v>57</v>
      </c>
      <c r="B693" t="s">
        <v>58</v>
      </c>
      <c r="C693" t="s">
        <v>10</v>
      </c>
      <c r="D693" s="1">
        <v>45901</v>
      </c>
      <c r="E693" s="3">
        <v>18000</v>
      </c>
      <c r="F693" t="str">
        <f>+TRIM(B693)</f>
        <v>Everest Drilling</v>
      </c>
      <c r="G693" t="str" cm="1">
        <f t="array" ref="G693">_xlfn.IFS(
  ISNUMBER(SEARCH("Core", C693)), "Core Platform",
  ISNUMBER(SEARCH("Analytics", C693)), "Analytics",
  ISNUMBER(SEARCH("Automation", C693)), "Automation"
)</f>
        <v>Analytics</v>
      </c>
    </row>
    <row r="694" spans="1:7" x14ac:dyDescent="0.35">
      <c r="A694" t="s">
        <v>43</v>
      </c>
      <c r="B694" t="s">
        <v>44</v>
      </c>
      <c r="C694" t="s">
        <v>50</v>
      </c>
      <c r="D694" s="1">
        <v>45627</v>
      </c>
      <c r="E694" s="3">
        <v>27000</v>
      </c>
      <c r="F694" t="str">
        <f>+TRIM(B694)</f>
        <v>Harborview Plumbing</v>
      </c>
      <c r="G694" t="str" cm="1">
        <f t="array" ref="G694">_xlfn.IFS(
  ISNUMBER(SEARCH("Core", C694)), "Core Platform",
  ISNUMBER(SEARCH("Analytics", C694)), "Analytics",
  ISNUMBER(SEARCH("Automation", C694)), "Automation"
)</f>
        <v>Automation</v>
      </c>
    </row>
    <row r="695" spans="1:7" x14ac:dyDescent="0.35">
      <c r="A695" t="s">
        <v>19</v>
      </c>
      <c r="B695" t="s">
        <v>20</v>
      </c>
      <c r="C695" t="s">
        <v>28</v>
      </c>
      <c r="D695" s="1">
        <v>45992</v>
      </c>
      <c r="E695" s="3">
        <v>90000</v>
      </c>
      <c r="F695" t="str">
        <f>+TRIM(B695)</f>
        <v>Granite State Mechanical</v>
      </c>
      <c r="G695" t="str" cm="1">
        <f t="array" ref="G695">_xlfn.IFS(
  ISNUMBER(SEARCH("Core", C695)), "Core Platform",
  ISNUMBER(SEARCH("Analytics", C695)), "Analytics",
  ISNUMBER(SEARCH("Automation", C695)), "Automation"
)</f>
        <v>Core Platform</v>
      </c>
    </row>
    <row r="696" spans="1:7" x14ac:dyDescent="0.35">
      <c r="A696" t="s">
        <v>26</v>
      </c>
      <c r="B696" t="s">
        <v>27</v>
      </c>
      <c r="C696" t="s">
        <v>28</v>
      </c>
      <c r="D696" s="1">
        <v>45778</v>
      </c>
      <c r="E696" s="3">
        <v>72000</v>
      </c>
      <c r="F696" t="str">
        <f>+TRIM(B696)</f>
        <v>Blue Harbor Logistics</v>
      </c>
      <c r="G696" t="str" cm="1">
        <f t="array" ref="G696">_xlfn.IFS(
  ISNUMBER(SEARCH("Core", C696)), "Core Platform",
  ISNUMBER(SEARCH("Analytics", C696)), "Analytics",
  ISNUMBER(SEARCH("Automation", C696)), "Automation"
)</f>
        <v>Core Platform</v>
      </c>
    </row>
    <row r="697" spans="1:7" x14ac:dyDescent="0.35">
      <c r="A697" t="s">
        <v>19</v>
      </c>
      <c r="B697" t="s">
        <v>20</v>
      </c>
      <c r="C697" t="s">
        <v>7</v>
      </c>
      <c r="D697" s="1">
        <v>45901</v>
      </c>
      <c r="E697" s="3">
        <v>30000</v>
      </c>
      <c r="F697" t="str">
        <f>+TRIM(B697)</f>
        <v>Granite State Mechanical</v>
      </c>
      <c r="G697" t="str" cm="1">
        <f t="array" ref="G697">_xlfn.IFS(
  ISNUMBER(SEARCH("Core", C697)), "Core Platform",
  ISNUMBER(SEARCH("Analytics", C697)), "Analytics",
  ISNUMBER(SEARCH("Automation", C697)), "Automation"
)</f>
        <v>Analytics</v>
      </c>
    </row>
    <row r="698" spans="1:7" x14ac:dyDescent="0.35">
      <c r="A698" t="s">
        <v>48</v>
      </c>
      <c r="B698" t="s">
        <v>49</v>
      </c>
      <c r="C698" t="s">
        <v>21</v>
      </c>
      <c r="D698" s="1">
        <v>45839</v>
      </c>
      <c r="E698" s="3">
        <v>11000</v>
      </c>
      <c r="F698" t="str">
        <f>+TRIM(B698)</f>
        <v>Lakeside Energy</v>
      </c>
      <c r="G698" t="str" cm="1">
        <f t="array" ref="G698">_xlfn.IFS(
  ISNUMBER(SEARCH("Core", C698)), "Core Platform",
  ISNUMBER(SEARCH("Analytics", C698)), "Analytics",
  ISNUMBER(SEARCH("Automation", C698)), "Automation"
)</f>
        <v>Automation</v>
      </c>
    </row>
    <row r="699" spans="1:7" x14ac:dyDescent="0.35">
      <c r="A699" t="s">
        <v>57</v>
      </c>
      <c r="B699" t="s">
        <v>58</v>
      </c>
      <c r="C699" t="s">
        <v>28</v>
      </c>
      <c r="D699" s="1">
        <v>45962</v>
      </c>
      <c r="E699" s="3">
        <v>52000</v>
      </c>
      <c r="F699" t="str">
        <f>+TRIM(B699)</f>
        <v>Everest Drilling</v>
      </c>
      <c r="G699" t="str" cm="1">
        <f t="array" ref="G699">_xlfn.IFS(
  ISNUMBER(SEARCH("Core", C699)), "Core Platform",
  ISNUMBER(SEARCH("Analytics", C699)), "Analytics",
  ISNUMBER(SEARCH("Automation", C699)), "Automation"
)</f>
        <v>Core Platform</v>
      </c>
    </row>
    <row r="700" spans="1:7" x14ac:dyDescent="0.35">
      <c r="A700" t="s">
        <v>74</v>
      </c>
      <c r="B700" t="s">
        <v>75</v>
      </c>
      <c r="C700" t="s">
        <v>16</v>
      </c>
      <c r="D700" s="1">
        <v>45778</v>
      </c>
      <c r="E700" s="3">
        <v>155000</v>
      </c>
      <c r="F700" t="str">
        <f>+TRIM(B700)</f>
        <v>Sterling Facilities</v>
      </c>
      <c r="G700" t="str" cm="1">
        <f t="array" ref="G700">_xlfn.IFS(
  ISNUMBER(SEARCH("Core", C700)), "Core Platform",
  ISNUMBER(SEARCH("Analytics", C700)), "Analytics",
  ISNUMBER(SEARCH("Automation", C700)), "Automation"
)</f>
        <v>Core Platform</v>
      </c>
    </row>
    <row r="701" spans="1:7" x14ac:dyDescent="0.35">
      <c r="A701" t="s">
        <v>11</v>
      </c>
      <c r="B701" t="s">
        <v>59</v>
      </c>
      <c r="C701" t="s">
        <v>10</v>
      </c>
      <c r="D701" s="1">
        <v>45689</v>
      </c>
      <c r="E701" s="3">
        <v>39000</v>
      </c>
      <c r="F701" t="str">
        <f>+TRIM(B701)</f>
        <v>Pinecrest Property</v>
      </c>
      <c r="G701" t="str" cm="1">
        <f t="array" ref="G701">_xlfn.IFS(
  ISNUMBER(SEARCH("Core", C701)), "Core Platform",
  ISNUMBER(SEARCH("Analytics", C701)), "Analytics",
  ISNUMBER(SEARCH("Automation", C701)), "Automation"
)</f>
        <v>Analytics</v>
      </c>
    </row>
    <row r="702" spans="1:7" x14ac:dyDescent="0.35">
      <c r="A702" t="s">
        <v>60</v>
      </c>
      <c r="B702" t="s">
        <v>61</v>
      </c>
      <c r="C702" t="s">
        <v>21</v>
      </c>
      <c r="D702" s="1">
        <v>45717</v>
      </c>
      <c r="E702" s="3">
        <v>18000</v>
      </c>
      <c r="F702" t="str">
        <f>+TRIM(B702)</f>
        <v>Redwood Field Services</v>
      </c>
      <c r="G702" t="str" cm="1">
        <f t="array" ref="G702">_xlfn.IFS(
  ISNUMBER(SEARCH("Core", C702)), "Core Platform",
  ISNUMBER(SEARCH("Analytics", C702)), "Analytics",
  ISNUMBER(SEARCH("Automation", C702)), "Automation"
)</f>
        <v>Automation</v>
      </c>
    </row>
    <row r="703" spans="1:7" x14ac:dyDescent="0.35">
      <c r="A703" t="s">
        <v>68</v>
      </c>
      <c r="B703" t="s">
        <v>69</v>
      </c>
      <c r="C703" t="s">
        <v>28</v>
      </c>
      <c r="D703" s="1">
        <v>45992</v>
      </c>
      <c r="E703" s="3">
        <v>40000</v>
      </c>
      <c r="F703" t="str">
        <f>+TRIM(B703)</f>
        <v>Silverline Rail</v>
      </c>
      <c r="G703" t="str" cm="1">
        <f t="array" ref="G703">_xlfn.IFS(
  ISNUMBER(SEARCH("Core", C703)), "Core Platform",
  ISNUMBER(SEARCH("Analytics", C703)), "Analytics",
  ISNUMBER(SEARCH("Automation", C703)), "Automation"
)</f>
        <v>Core Platform</v>
      </c>
    </row>
    <row r="704" spans="1:7" x14ac:dyDescent="0.35">
      <c r="A704" t="s">
        <v>33</v>
      </c>
      <c r="B704" t="s">
        <v>34</v>
      </c>
      <c r="C704" t="s">
        <v>65</v>
      </c>
      <c r="D704" s="1">
        <v>45809</v>
      </c>
      <c r="E704" s="3">
        <v>17000</v>
      </c>
      <c r="F704" t="str">
        <f>+TRIM(B704)</f>
        <v>Sandstone Roofing</v>
      </c>
      <c r="G704" t="str" cm="1">
        <f t="array" ref="G704">_xlfn.IFS(
  ISNUMBER(SEARCH("Core", C704)), "Core Platform",
  ISNUMBER(SEARCH("Analytics", C704)), "Analytics",
  ISNUMBER(SEARCH("Automation", C704)), "Automation"
)</f>
        <v>Analytics</v>
      </c>
    </row>
    <row r="705" spans="1:7" x14ac:dyDescent="0.35">
      <c r="A705" t="s">
        <v>37</v>
      </c>
      <c r="B705" t="s">
        <v>38</v>
      </c>
      <c r="C705" t="s">
        <v>10</v>
      </c>
      <c r="D705" s="1">
        <v>45870</v>
      </c>
      <c r="E705" s="3">
        <v>19000</v>
      </c>
      <c r="F705" t="str">
        <f>+TRIM(B705)</f>
        <v>Fairwind Marine</v>
      </c>
      <c r="G705" t="str" cm="1">
        <f t="array" ref="G705">_xlfn.IFS(
  ISNUMBER(SEARCH("Core", C705)), "Core Platform",
  ISNUMBER(SEARCH("Analytics", C705)), "Analytics",
  ISNUMBER(SEARCH("Automation", C705)), "Automation"
)</f>
        <v>Analytics</v>
      </c>
    </row>
    <row r="706" spans="1:7" x14ac:dyDescent="0.35">
      <c r="A706" t="s">
        <v>84</v>
      </c>
      <c r="B706" t="s">
        <v>85</v>
      </c>
      <c r="C706" t="s">
        <v>16</v>
      </c>
      <c r="D706" s="1">
        <v>45901</v>
      </c>
      <c r="E706" s="3">
        <v>44000</v>
      </c>
      <c r="F706" t="str">
        <f>+TRIM(B706)</f>
        <v>Timberline Landscaping</v>
      </c>
      <c r="G706" t="str" cm="1">
        <f t="array" ref="G706">_xlfn.IFS(
  ISNUMBER(SEARCH("Core", C706)), "Core Platform",
  ISNUMBER(SEARCH("Analytics", C706)), "Analytics",
  ISNUMBER(SEARCH("Automation", C706)), "Automation"
)</f>
        <v>Core Platform</v>
      </c>
    </row>
    <row r="707" spans="1:7" x14ac:dyDescent="0.35">
      <c r="A707" t="s">
        <v>5</v>
      </c>
      <c r="B707" t="s">
        <v>6</v>
      </c>
      <c r="C707" t="s">
        <v>28</v>
      </c>
      <c r="D707" s="1">
        <v>45809</v>
      </c>
      <c r="E707" s="3">
        <v>85000</v>
      </c>
      <c r="F707" t="str">
        <f>+TRIM(B707)</f>
        <v>Meridian Water Group</v>
      </c>
      <c r="G707" t="str" cm="1">
        <f t="array" ref="G707">_xlfn.IFS(
  ISNUMBER(SEARCH("Core", C707)), "Core Platform",
  ISNUMBER(SEARCH("Analytics", C707)), "Analytics",
  ISNUMBER(SEARCH("Automation", C707)), "Automation"
)</f>
        <v>Core Platform</v>
      </c>
    </row>
    <row r="708" spans="1:7" x14ac:dyDescent="0.35">
      <c r="A708" t="s">
        <v>8</v>
      </c>
      <c r="B708" t="s">
        <v>9</v>
      </c>
      <c r="C708" t="s">
        <v>21</v>
      </c>
      <c r="D708" s="1">
        <v>45931</v>
      </c>
      <c r="E708" s="3">
        <v>17000</v>
      </c>
      <c r="F708" t="str">
        <f>+TRIM(B708)</f>
        <v>Cobalt Networks</v>
      </c>
      <c r="G708" t="str" cm="1">
        <f t="array" ref="G708">_xlfn.IFS(
  ISNUMBER(SEARCH("Core", C708)), "Core Platform",
  ISNUMBER(SEARCH("Analytics", C708)), "Analytics",
  ISNUMBER(SEARCH("Automation", C708)), "Automation"
)</f>
        <v>Automation</v>
      </c>
    </row>
    <row r="709" spans="1:7" x14ac:dyDescent="0.35">
      <c r="A709" t="s">
        <v>26</v>
      </c>
      <c r="B709" t="s">
        <v>27</v>
      </c>
      <c r="C709" t="s">
        <v>10</v>
      </c>
      <c r="D709" s="1">
        <v>45962</v>
      </c>
      <c r="E709" s="3">
        <v>25000</v>
      </c>
      <c r="F709" t="str">
        <f>+TRIM(B709)</f>
        <v>Blue Harbor Logistics</v>
      </c>
      <c r="G709" t="str" cm="1">
        <f t="array" ref="G709">_xlfn.IFS(
  ISNUMBER(SEARCH("Core", C709)), "Core Platform",
  ISNUMBER(SEARCH("Analytics", C709)), "Analytics",
  ISNUMBER(SEARCH("Automation", C709)), "Automation"
)</f>
        <v>Analytics</v>
      </c>
    </row>
    <row r="710" spans="1:7" x14ac:dyDescent="0.35">
      <c r="A710" t="s">
        <v>43</v>
      </c>
      <c r="B710" t="s">
        <v>44</v>
      </c>
      <c r="C710" t="s">
        <v>7</v>
      </c>
      <c r="D710" s="1">
        <v>45839</v>
      </c>
      <c r="E710" s="3">
        <v>22000</v>
      </c>
      <c r="F710" t="str">
        <f>+TRIM(B710)</f>
        <v>Harborview Plumbing</v>
      </c>
      <c r="G710" t="str" cm="1">
        <f t="array" ref="G710">_xlfn.IFS(
  ISNUMBER(SEARCH("Core", C710)), "Core Platform",
  ISNUMBER(SEARCH("Analytics", C710)), "Analytics",
  ISNUMBER(SEARCH("Automation", C710)), "Automation"
)</f>
        <v>Analytics</v>
      </c>
    </row>
    <row r="711" spans="1:7" x14ac:dyDescent="0.35">
      <c r="A711" t="s">
        <v>78</v>
      </c>
      <c r="B711" t="s">
        <v>79</v>
      </c>
      <c r="C711" t="s">
        <v>16</v>
      </c>
      <c r="D711" s="1">
        <v>45839</v>
      </c>
      <c r="E711" s="3">
        <v>49000</v>
      </c>
      <c r="F711" t="str">
        <f>+TRIM(B711)</f>
        <v>Orion Building Systems</v>
      </c>
      <c r="G711" t="str" cm="1">
        <f t="array" ref="G711">_xlfn.IFS(
  ISNUMBER(SEARCH("Core", C711)), "Core Platform",
  ISNUMBER(SEARCH("Analytics", C711)), "Analytics",
  ISNUMBER(SEARCH("Automation", C711)), "Automation"
)</f>
        <v>Core Platform</v>
      </c>
    </row>
    <row r="712" spans="1:7" x14ac:dyDescent="0.35">
      <c r="A712" t="s">
        <v>48</v>
      </c>
      <c r="B712" t="s">
        <v>49</v>
      </c>
      <c r="C712" t="s">
        <v>7</v>
      </c>
      <c r="D712" s="1">
        <v>45992</v>
      </c>
      <c r="E712" s="3">
        <v>26000</v>
      </c>
      <c r="F712" t="str">
        <f>+TRIM(B712)</f>
        <v>Lakeside Energy</v>
      </c>
      <c r="G712" t="str" cm="1">
        <f t="array" ref="G712">_xlfn.IFS(
  ISNUMBER(SEARCH("Core", C712)), "Core Platform",
  ISNUMBER(SEARCH("Analytics", C712)), "Analytics",
  ISNUMBER(SEARCH("Automation", C712)), "Automation"
)</f>
        <v>Analytics</v>
      </c>
    </row>
    <row r="713" spans="1:7" x14ac:dyDescent="0.35">
      <c r="A713" t="s">
        <v>53</v>
      </c>
      <c r="B713" t="s">
        <v>54</v>
      </c>
      <c r="C713" t="s">
        <v>10</v>
      </c>
      <c r="D713" s="1">
        <v>45778</v>
      </c>
      <c r="E713" s="3">
        <v>35000</v>
      </c>
      <c r="F713" t="str">
        <f>+TRIM(B713)</f>
        <v>Maple Grove Maintenance</v>
      </c>
      <c r="G713" t="str" cm="1">
        <f t="array" ref="G713">_xlfn.IFS(
  ISNUMBER(SEARCH("Core", C713)), "Core Platform",
  ISNUMBER(SEARCH("Analytics", C713)), "Analytics",
  ISNUMBER(SEARCH("Automation", C713)), "Automation"
)</f>
        <v>Analytics</v>
      </c>
    </row>
    <row r="714" spans="1:7" x14ac:dyDescent="0.35">
      <c r="A714" t="s">
        <v>41</v>
      </c>
      <c r="B714" t="s">
        <v>120</v>
      </c>
      <c r="C714" t="s">
        <v>16</v>
      </c>
      <c r="D714" s="1">
        <v>45658</v>
      </c>
      <c r="E714" s="3">
        <v>89000</v>
      </c>
      <c r="F714" t="str">
        <f>+TRIM(B714)</f>
        <v>Delta Refrigeration</v>
      </c>
      <c r="G714" t="str" cm="1">
        <f t="array" ref="G714">_xlfn.IFS(
  ISNUMBER(SEARCH("Core", C714)), "Core Platform",
  ISNUMBER(SEARCH("Analytics", C714)), "Analytics",
  ISNUMBER(SEARCH("Automation", C714)), "Automation"
)</f>
        <v>Core Platform</v>
      </c>
    </row>
    <row r="715" spans="1:7" x14ac:dyDescent="0.35">
      <c r="A715" t="s">
        <v>60</v>
      </c>
      <c r="B715" t="s">
        <v>61</v>
      </c>
      <c r="C715" t="s">
        <v>16</v>
      </c>
      <c r="D715" s="1">
        <v>45748</v>
      </c>
      <c r="E715" s="3">
        <v>35000</v>
      </c>
      <c r="F715" t="str">
        <f>+TRIM(B715)</f>
        <v>Redwood Field Services</v>
      </c>
      <c r="G715" t="str" cm="1">
        <f t="array" ref="G715">_xlfn.IFS(
  ISNUMBER(SEARCH("Core", C715)), "Core Platform",
  ISNUMBER(SEARCH("Analytics", C715)), "Analytics",
  ISNUMBER(SEARCH("Automation", C715)), "Automation"
)</f>
        <v>Core Platform</v>
      </c>
    </row>
    <row r="716" spans="1:7" x14ac:dyDescent="0.35">
      <c r="A716" t="s">
        <v>48</v>
      </c>
      <c r="B716" t="s">
        <v>49</v>
      </c>
      <c r="C716" t="s">
        <v>28</v>
      </c>
      <c r="D716" s="1">
        <v>45901</v>
      </c>
      <c r="E716" s="3">
        <v>112000</v>
      </c>
      <c r="F716" t="str">
        <f>+TRIM(B716)</f>
        <v>Lakeside Energy</v>
      </c>
      <c r="G716" t="str" cm="1">
        <f t="array" ref="G716">_xlfn.IFS(
  ISNUMBER(SEARCH("Core", C716)), "Core Platform",
  ISNUMBER(SEARCH("Analytics", C716)), "Analytics",
  ISNUMBER(SEARCH("Automation", C716)), "Automation"
)</f>
        <v>Core Platform</v>
      </c>
    </row>
    <row r="717" spans="1:7" x14ac:dyDescent="0.35">
      <c r="A717" t="s">
        <v>11</v>
      </c>
      <c r="B717" t="s">
        <v>59</v>
      </c>
      <c r="C717" t="s">
        <v>10</v>
      </c>
      <c r="D717" s="1">
        <v>45717</v>
      </c>
      <c r="E717" s="3">
        <v>39000</v>
      </c>
      <c r="F717" t="str">
        <f>+TRIM(B717)</f>
        <v>Pinecrest Property</v>
      </c>
      <c r="G717" t="str" cm="1">
        <f t="array" ref="G717">_xlfn.IFS(
  ISNUMBER(SEARCH("Core", C717)), "Core Platform",
  ISNUMBER(SEARCH("Analytics", C717)), "Analytics",
  ISNUMBER(SEARCH("Automation", C717)), "Automation"
)</f>
        <v>Analytics</v>
      </c>
    </row>
    <row r="718" spans="1:7" x14ac:dyDescent="0.35">
      <c r="A718" t="s">
        <v>24</v>
      </c>
      <c r="B718" t="s">
        <v>45</v>
      </c>
      <c r="C718" t="s">
        <v>21</v>
      </c>
      <c r="D718" s="1">
        <v>45901</v>
      </c>
      <c r="E718" s="3">
        <v>22000</v>
      </c>
      <c r="F718" t="str">
        <f>+TRIM(B718)</f>
        <v>Kestrel Telecom</v>
      </c>
      <c r="G718" t="str" cm="1">
        <f t="array" ref="G718">_xlfn.IFS(
  ISNUMBER(SEARCH("Core", C718)), "Core Platform",
  ISNUMBER(SEARCH("Analytics", C718)), "Analytics",
  ISNUMBER(SEARCH("Automation", C718)), "Automation"
)</f>
        <v>Automation</v>
      </c>
    </row>
    <row r="719" spans="1:7" x14ac:dyDescent="0.35">
      <c r="A719" t="s">
        <v>19</v>
      </c>
      <c r="B719" t="s">
        <v>20</v>
      </c>
      <c r="C719" t="s">
        <v>16</v>
      </c>
      <c r="D719" s="1">
        <v>45931</v>
      </c>
      <c r="E719" s="3">
        <v>90000</v>
      </c>
      <c r="F719" t="str">
        <f>+TRIM(B719)</f>
        <v>Granite State Mechanical</v>
      </c>
      <c r="G719" t="str" cm="1">
        <f t="array" ref="G719">_xlfn.IFS(
  ISNUMBER(SEARCH("Core", C719)), "Core Platform",
  ISNUMBER(SEARCH("Analytics", C719)), "Analytics",
  ISNUMBER(SEARCH("Automation", C719)), "Automation"
)</f>
        <v>Core Platform</v>
      </c>
    </row>
    <row r="720" spans="1:7" x14ac:dyDescent="0.35">
      <c r="A720" t="s">
        <v>70</v>
      </c>
      <c r="B720" t="s">
        <v>71</v>
      </c>
      <c r="C720" t="s">
        <v>21</v>
      </c>
      <c r="D720" s="1">
        <v>45901</v>
      </c>
      <c r="E720" s="3">
        <v>9000</v>
      </c>
      <c r="F720" t="str">
        <f>+TRIM(B720)</f>
        <v>Vertex Manufacturing</v>
      </c>
      <c r="G720" t="str" cm="1">
        <f t="array" ref="G720">_xlfn.IFS(
  ISNUMBER(SEARCH("Core", C720)), "Core Platform",
  ISNUMBER(SEARCH("Analytics", C720)), "Analytics",
  ISNUMBER(SEARCH("Automation", C720)), "Automation"
)</f>
        <v>Automation</v>
      </c>
    </row>
    <row r="721" spans="1:7" x14ac:dyDescent="0.35">
      <c r="A721" t="s">
        <v>24</v>
      </c>
      <c r="B721" t="s">
        <v>45</v>
      </c>
      <c r="C721" t="s">
        <v>16</v>
      </c>
      <c r="D721" s="1">
        <v>45748</v>
      </c>
      <c r="E721" s="3">
        <v>100000</v>
      </c>
      <c r="F721" t="str">
        <f>+TRIM(B721)</f>
        <v>Kestrel Telecom</v>
      </c>
      <c r="G721" t="str" cm="1">
        <f t="array" ref="G721">_xlfn.IFS(
  ISNUMBER(SEARCH("Core", C721)), "Core Platform",
  ISNUMBER(SEARCH("Analytics", C721)), "Analytics",
  ISNUMBER(SEARCH("Automation", C721)), "Automation"
)</f>
        <v>Core Platform</v>
      </c>
    </row>
    <row r="722" spans="1:7" x14ac:dyDescent="0.35">
      <c r="A722" t="s">
        <v>41</v>
      </c>
      <c r="B722" t="s">
        <v>42</v>
      </c>
      <c r="C722" t="s">
        <v>28</v>
      </c>
      <c r="D722" s="1">
        <v>45809</v>
      </c>
      <c r="E722" s="3">
        <v>102000</v>
      </c>
      <c r="F722" t="str">
        <f>+TRIM(B722)</f>
        <v>Delta Refrigeration</v>
      </c>
      <c r="G722" t="str" cm="1">
        <f t="array" ref="G722">_xlfn.IFS(
  ISNUMBER(SEARCH("Core", C722)), "Core Platform",
  ISNUMBER(SEARCH("Analytics", C722)), "Analytics",
  ISNUMBER(SEARCH("Automation", C722)), "Automation"
)</f>
        <v>Core Platform</v>
      </c>
    </row>
    <row r="723" spans="1:7" x14ac:dyDescent="0.35">
      <c r="A723" t="s">
        <v>43</v>
      </c>
      <c r="B723" t="s">
        <v>44</v>
      </c>
      <c r="C723" t="s">
        <v>10</v>
      </c>
      <c r="D723" s="1">
        <v>45809</v>
      </c>
      <c r="E723" s="3">
        <v>22000</v>
      </c>
      <c r="F723" t="str">
        <f>+TRIM(B723)</f>
        <v>Harborview Plumbing</v>
      </c>
      <c r="G723" t="str" cm="1">
        <f t="array" ref="G723">_xlfn.IFS(
  ISNUMBER(SEARCH("Core", C723)), "Core Platform",
  ISNUMBER(SEARCH("Analytics", C723)), "Analytics",
  ISNUMBER(SEARCH("Automation", C723)), "Automation"
)</f>
        <v>Analytics</v>
      </c>
    </row>
    <row r="724" spans="1:7" x14ac:dyDescent="0.35">
      <c r="A724" t="s">
        <v>19</v>
      </c>
      <c r="B724" t="s">
        <v>77</v>
      </c>
      <c r="C724" t="s">
        <v>28</v>
      </c>
      <c r="D724" s="1">
        <v>45748</v>
      </c>
      <c r="E724" s="3">
        <v>79000</v>
      </c>
      <c r="F724" t="str">
        <f>+TRIM(B724)</f>
        <v>Granite State Mechanical</v>
      </c>
      <c r="G724" t="str" cm="1">
        <f t="array" ref="G724">_xlfn.IFS(
  ISNUMBER(SEARCH("Core", C724)), "Core Platform",
  ISNUMBER(SEARCH("Analytics", C724)), "Analytics",
  ISNUMBER(SEARCH("Automation", C724)), "Automation"
)</f>
        <v>Core Platform</v>
      </c>
    </row>
    <row r="725" spans="1:7" x14ac:dyDescent="0.35">
      <c r="A725" t="s">
        <v>39</v>
      </c>
      <c r="B725" t="s">
        <v>40</v>
      </c>
      <c r="C725" t="s">
        <v>28</v>
      </c>
      <c r="D725" s="1">
        <v>45689</v>
      </c>
      <c r="E725" s="3">
        <v>60000</v>
      </c>
      <c r="F725" t="str">
        <f>+TRIM(B725)</f>
        <v>Foundry Industrial</v>
      </c>
      <c r="G725" t="str" cm="1">
        <f t="array" ref="G725">_xlfn.IFS(
  ISNUMBER(SEARCH("Core", C725)), "Core Platform",
  ISNUMBER(SEARCH("Analytics", C725)), "Analytics",
  ISNUMBER(SEARCH("Automation", C725)), "Automation"
)</f>
        <v>Core Platform</v>
      </c>
    </row>
    <row r="726" spans="1:7" x14ac:dyDescent="0.35">
      <c r="A726" t="s">
        <v>11</v>
      </c>
      <c r="B726" t="s">
        <v>59</v>
      </c>
      <c r="C726" t="s">
        <v>7</v>
      </c>
      <c r="D726" s="1">
        <v>45748</v>
      </c>
      <c r="E726" s="3">
        <v>39000</v>
      </c>
      <c r="F726" t="str">
        <f>+TRIM(B726)</f>
        <v>Pinecrest Property</v>
      </c>
      <c r="G726" t="str" cm="1">
        <f t="array" ref="G726">_xlfn.IFS(
  ISNUMBER(SEARCH("Core", C726)), "Core Platform",
  ISNUMBER(SEARCH("Analytics", C726)), "Analytics",
  ISNUMBER(SEARCH("Automation", C726)), "Automation"
)</f>
        <v>Analytics</v>
      </c>
    </row>
    <row r="727" spans="1:7" x14ac:dyDescent="0.35">
      <c r="A727" t="s">
        <v>29</v>
      </c>
      <c r="B727" t="s">
        <v>30</v>
      </c>
      <c r="C727" t="s">
        <v>28</v>
      </c>
      <c r="D727" s="1">
        <v>45717</v>
      </c>
      <c r="E727" s="3">
        <v>60000</v>
      </c>
      <c r="F727" t="str">
        <f>+TRIM(B727)</f>
        <v>Atlas Elevator Co</v>
      </c>
      <c r="G727" t="str" cm="1">
        <f t="array" ref="G727">_xlfn.IFS(
  ISNUMBER(SEARCH("Core", C727)), "Core Platform",
  ISNUMBER(SEARCH("Analytics", C727)), "Analytics",
  ISNUMBER(SEARCH("Automation", C727)), "Automation"
)</f>
        <v>Core Platform</v>
      </c>
    </row>
    <row r="728" spans="1:7" x14ac:dyDescent="0.35">
      <c r="A728" t="s">
        <v>57</v>
      </c>
      <c r="B728" t="s">
        <v>58</v>
      </c>
      <c r="C728" t="s">
        <v>16</v>
      </c>
      <c r="D728" s="1">
        <v>45809</v>
      </c>
      <c r="E728" s="3">
        <v>52000</v>
      </c>
      <c r="F728" t="str">
        <f>+TRIM(B728)</f>
        <v>Everest Drilling</v>
      </c>
      <c r="G728" t="str" cm="1">
        <f t="array" ref="G728">_xlfn.IFS(
  ISNUMBER(SEARCH("Core", C728)), "Core Platform",
  ISNUMBER(SEARCH("Analytics", C728)), "Analytics",
  ISNUMBER(SEARCH("Automation", C728)), "Automation"
)</f>
        <v>Core Platform</v>
      </c>
    </row>
    <row r="729" spans="1:7" x14ac:dyDescent="0.35">
      <c r="A729" t="s">
        <v>48</v>
      </c>
      <c r="B729" t="s">
        <v>49</v>
      </c>
      <c r="C729" t="s">
        <v>28</v>
      </c>
      <c r="D729" s="1">
        <v>45992</v>
      </c>
      <c r="E729" s="3">
        <v>112000</v>
      </c>
      <c r="F729" t="str">
        <f>+TRIM(B729)</f>
        <v>Lakeside Energy</v>
      </c>
      <c r="G729" t="str" cm="1">
        <f t="array" ref="G729">_xlfn.IFS(
  ISNUMBER(SEARCH("Core", C729)), "Core Platform",
  ISNUMBER(SEARCH("Analytics", C729)), "Analytics",
  ISNUMBER(SEARCH("Automation", C729)), "Automation"
)</f>
        <v>Core Platform</v>
      </c>
    </row>
    <row r="730" spans="1:7" x14ac:dyDescent="0.35">
      <c r="A730" t="s">
        <v>74</v>
      </c>
      <c r="B730" t="s">
        <v>75</v>
      </c>
      <c r="C730" t="s">
        <v>28</v>
      </c>
      <c r="D730" s="1">
        <v>45658</v>
      </c>
      <c r="E730" s="3">
        <v>120000</v>
      </c>
      <c r="F730" t="str">
        <f>+TRIM(B730)</f>
        <v>Sterling Facilities</v>
      </c>
      <c r="G730" t="str" cm="1">
        <f t="array" ref="G730">_xlfn.IFS(
  ISNUMBER(SEARCH("Core", C730)), "Core Platform",
  ISNUMBER(SEARCH("Analytics", C730)), "Analytics",
  ISNUMBER(SEARCH("Automation", C730)), "Automation"
)</f>
        <v>Core Platform</v>
      </c>
    </row>
    <row r="731" spans="1:7" x14ac:dyDescent="0.35">
      <c r="A731" t="s">
        <v>8</v>
      </c>
      <c r="B731" t="s">
        <v>9</v>
      </c>
      <c r="C731" t="s">
        <v>16</v>
      </c>
      <c r="D731" s="1">
        <v>45870</v>
      </c>
      <c r="E731" s="3">
        <v>70000</v>
      </c>
      <c r="F731" t="str">
        <f>+TRIM(B731)</f>
        <v>Cobalt Networks</v>
      </c>
      <c r="G731" t="str" cm="1">
        <f t="array" ref="G731">_xlfn.IFS(
  ISNUMBER(SEARCH("Core", C731)), "Core Platform",
  ISNUMBER(SEARCH("Analytics", C731)), "Analytics",
  ISNUMBER(SEARCH("Automation", C731)), "Automation"
)</f>
        <v>Core Platform</v>
      </c>
    </row>
    <row r="732" spans="1:7" x14ac:dyDescent="0.35">
      <c r="A732" t="s">
        <v>51</v>
      </c>
      <c r="B732" t="s">
        <v>52</v>
      </c>
      <c r="C732" t="s">
        <v>10</v>
      </c>
      <c r="D732" s="1">
        <v>45627</v>
      </c>
      <c r="E732" s="3">
        <v>27000</v>
      </c>
      <c r="F732" t="str">
        <f>+TRIM(B732)</f>
        <v>Cedar Peak Utilities</v>
      </c>
      <c r="G732" t="str" cm="1">
        <f t="array" ref="G732">_xlfn.IFS(
  ISNUMBER(SEARCH("Core", C732)), "Core Platform",
  ISNUMBER(SEARCH("Analytics", C732)), "Analytics",
  ISNUMBER(SEARCH("Automation", C732)), "Automation"
)</f>
        <v>Analytics</v>
      </c>
    </row>
    <row r="733" spans="1:7" x14ac:dyDescent="0.35">
      <c r="A733" t="s">
        <v>87</v>
      </c>
      <c r="B733" t="s">
        <v>88</v>
      </c>
      <c r="C733" t="s">
        <v>16</v>
      </c>
      <c r="D733" s="1">
        <v>45778</v>
      </c>
      <c r="E733" s="3">
        <v>73000</v>
      </c>
      <c r="F733" t="str">
        <f>+TRIM(B733)</f>
        <v>Brightway Solar</v>
      </c>
      <c r="G733" t="str" cm="1">
        <f t="array" ref="G733">_xlfn.IFS(
  ISNUMBER(SEARCH("Core", C733)), "Core Platform",
  ISNUMBER(SEARCH("Analytics", C733)), "Analytics",
  ISNUMBER(SEARCH("Automation", C733)), "Automation"
)</f>
        <v>Core Platform</v>
      </c>
    </row>
    <row r="734" spans="1:7" x14ac:dyDescent="0.35">
      <c r="A734" t="s">
        <v>78</v>
      </c>
      <c r="B734" t="s">
        <v>79</v>
      </c>
      <c r="C734" t="s">
        <v>16</v>
      </c>
      <c r="D734" s="1">
        <v>45658</v>
      </c>
      <c r="E734" s="3">
        <v>49000</v>
      </c>
      <c r="F734" t="str">
        <f>+TRIM(B734)</f>
        <v>Orion Building Systems</v>
      </c>
      <c r="G734" t="str" cm="1">
        <f t="array" ref="G734">_xlfn.IFS(
  ISNUMBER(SEARCH("Core", C734)), "Core Platform",
  ISNUMBER(SEARCH("Analytics", C734)), "Analytics",
  ISNUMBER(SEARCH("Automation", C734)), "Automation"
)</f>
        <v>Core Platform</v>
      </c>
    </row>
    <row r="735" spans="1:7" x14ac:dyDescent="0.35">
      <c r="A735" t="s">
        <v>8</v>
      </c>
      <c r="B735" t="s">
        <v>9</v>
      </c>
      <c r="C735" t="s">
        <v>50</v>
      </c>
      <c r="D735" s="1">
        <v>45901</v>
      </c>
      <c r="E735" s="3">
        <v>17000</v>
      </c>
      <c r="F735" t="str">
        <f>+TRIM(B735)</f>
        <v>Cobalt Networks</v>
      </c>
      <c r="G735" t="str" cm="1">
        <f t="array" ref="G735">_xlfn.IFS(
  ISNUMBER(SEARCH("Core", C735)), "Core Platform",
  ISNUMBER(SEARCH("Analytics", C735)), "Analytics",
  ISNUMBER(SEARCH("Automation", C735)), "Automation"
)</f>
        <v>Automation</v>
      </c>
    </row>
    <row r="736" spans="1:7" x14ac:dyDescent="0.35">
      <c r="A736" t="s">
        <v>72</v>
      </c>
      <c r="B736" t="s">
        <v>73</v>
      </c>
      <c r="C736" t="s">
        <v>28</v>
      </c>
      <c r="D736" s="1">
        <v>45870</v>
      </c>
      <c r="E736" s="3">
        <v>117000</v>
      </c>
      <c r="F736" t="str">
        <f>+TRIM(B736)</f>
        <v>Northwind Trading</v>
      </c>
      <c r="G736" t="str" cm="1">
        <f t="array" ref="G736">_xlfn.IFS(
  ISNUMBER(SEARCH("Core", C736)), "Core Platform",
  ISNUMBER(SEARCH("Analytics", C736)), "Analytics",
  ISNUMBER(SEARCH("Automation", C736)), "Automation"
)</f>
        <v>Core Platform</v>
      </c>
    </row>
    <row r="737" spans="1:7" x14ac:dyDescent="0.35">
      <c r="A737" t="s">
        <v>39</v>
      </c>
      <c r="B737" t="s">
        <v>40</v>
      </c>
      <c r="C737" t="s">
        <v>21</v>
      </c>
      <c r="D737" s="1">
        <v>45870</v>
      </c>
      <c r="E737" s="3">
        <v>19000</v>
      </c>
      <c r="F737" t="str">
        <f>+TRIM(B737)</f>
        <v>Foundry Industrial</v>
      </c>
      <c r="G737" t="str" cm="1">
        <f t="array" ref="G737">_xlfn.IFS(
  ISNUMBER(SEARCH("Core", C737)), "Core Platform",
  ISNUMBER(SEARCH("Analytics", C737)), "Analytics",
  ISNUMBER(SEARCH("Automation", C737)), "Automation"
)</f>
        <v>Automation</v>
      </c>
    </row>
    <row r="738" spans="1:7" x14ac:dyDescent="0.35">
      <c r="A738" t="s">
        <v>24</v>
      </c>
      <c r="B738" t="s">
        <v>45</v>
      </c>
      <c r="C738" t="s">
        <v>65</v>
      </c>
      <c r="D738" s="1">
        <v>45658</v>
      </c>
      <c r="E738" s="3">
        <v>31000</v>
      </c>
      <c r="F738" t="str">
        <f>+TRIM(B738)</f>
        <v>Kestrel Telecom</v>
      </c>
      <c r="G738" t="str" cm="1">
        <f t="array" ref="G738">_xlfn.IFS(
  ISNUMBER(SEARCH("Core", C738)), "Core Platform",
  ISNUMBER(SEARCH("Analytics", C738)), "Analytics",
  ISNUMBER(SEARCH("Automation", C738)), "Automation"
)</f>
        <v>Analytics</v>
      </c>
    </row>
    <row r="739" spans="1:7" x14ac:dyDescent="0.35">
      <c r="A739" t="s">
        <v>91</v>
      </c>
      <c r="B739" t="s">
        <v>92</v>
      </c>
      <c r="C739" t="s">
        <v>28</v>
      </c>
      <c r="D739" s="1">
        <v>45717</v>
      </c>
      <c r="E739" s="3">
        <v>90000</v>
      </c>
      <c r="F739" t="str">
        <f>+TRIM(B739)</f>
        <v>Trailhead Equipment</v>
      </c>
      <c r="G739" t="str" cm="1">
        <f t="array" ref="G739">_xlfn.IFS(
  ISNUMBER(SEARCH("Core", C739)), "Core Platform",
  ISNUMBER(SEARCH("Analytics", C739)), "Analytics",
  ISNUMBER(SEARCH("Automation", C739)), "Automation"
)</f>
        <v>Core Platform</v>
      </c>
    </row>
    <row r="740" spans="1:7" x14ac:dyDescent="0.35">
      <c r="A740" t="s">
        <v>91</v>
      </c>
      <c r="B740" t="s">
        <v>92</v>
      </c>
      <c r="C740" t="s">
        <v>50</v>
      </c>
      <c r="D740" s="1">
        <v>45992</v>
      </c>
      <c r="E740" s="3">
        <v>23000</v>
      </c>
      <c r="F740" t="str">
        <f>+TRIM(B740)</f>
        <v>Trailhead Equipment</v>
      </c>
      <c r="G740" t="str" cm="1">
        <f t="array" ref="G740">_xlfn.IFS(
  ISNUMBER(SEARCH("Core", C740)), "Core Platform",
  ISNUMBER(SEARCH("Analytics", C740)), "Analytics",
  ISNUMBER(SEARCH("Automation", C740)), "Automation"
)</f>
        <v>Automation</v>
      </c>
    </row>
    <row r="741" spans="1:7" x14ac:dyDescent="0.35">
      <c r="A741" t="s">
        <v>48</v>
      </c>
      <c r="B741" t="s">
        <v>49</v>
      </c>
      <c r="C741" t="s">
        <v>7</v>
      </c>
      <c r="D741" s="1">
        <v>45931</v>
      </c>
      <c r="E741" s="3">
        <v>26000</v>
      </c>
      <c r="F741" t="str">
        <f>+TRIM(B741)</f>
        <v>Lakeside Energy</v>
      </c>
      <c r="G741" t="str" cm="1">
        <f t="array" ref="G741">_xlfn.IFS(
  ISNUMBER(SEARCH("Core", C741)), "Core Platform",
  ISNUMBER(SEARCH("Analytics", C741)), "Analytics",
  ISNUMBER(SEARCH("Automation", C741)), "Automation"
)</f>
        <v>Analytics</v>
      </c>
    </row>
    <row r="742" spans="1:7" x14ac:dyDescent="0.35">
      <c r="A742" t="s">
        <v>39</v>
      </c>
      <c r="B742" t="s">
        <v>40</v>
      </c>
      <c r="C742" t="s">
        <v>28</v>
      </c>
      <c r="D742" s="1">
        <v>45839</v>
      </c>
      <c r="E742" s="3">
        <v>60000</v>
      </c>
      <c r="F742" t="str">
        <f>+TRIM(B742)</f>
        <v>Foundry Industrial</v>
      </c>
      <c r="G742" t="str" cm="1">
        <f t="array" ref="G742">_xlfn.IFS(
  ISNUMBER(SEARCH("Core", C742)), "Core Platform",
  ISNUMBER(SEARCH("Analytics", C742)), "Analytics",
  ISNUMBER(SEARCH("Automation", C742)), "Automation"
)</f>
        <v>Core Platform</v>
      </c>
    </row>
    <row r="743" spans="1:7" x14ac:dyDescent="0.35">
      <c r="A743" t="s">
        <v>11</v>
      </c>
      <c r="B743" t="s">
        <v>59</v>
      </c>
      <c r="C743" t="s">
        <v>28</v>
      </c>
      <c r="D743" s="1">
        <v>45839</v>
      </c>
      <c r="E743" s="3">
        <v>118000</v>
      </c>
      <c r="F743" t="str">
        <f>+TRIM(B743)</f>
        <v>Pinecrest Property</v>
      </c>
      <c r="G743" t="str" cm="1">
        <f t="array" ref="G743">_xlfn.IFS(
  ISNUMBER(SEARCH("Core", C743)), "Core Platform",
  ISNUMBER(SEARCH("Analytics", C743)), "Analytics",
  ISNUMBER(SEARCH("Automation", C743)), "Automation"
)</f>
        <v>Core Platform</v>
      </c>
    </row>
    <row r="744" spans="1:7" x14ac:dyDescent="0.35">
      <c r="A744" t="s">
        <v>37</v>
      </c>
      <c r="B744" t="s">
        <v>38</v>
      </c>
      <c r="C744" t="s">
        <v>28</v>
      </c>
      <c r="D744" s="1">
        <v>45931</v>
      </c>
      <c r="E744" s="3">
        <v>88000</v>
      </c>
      <c r="F744" t="str">
        <f>+TRIM(B744)</f>
        <v>Fairwind Marine</v>
      </c>
      <c r="G744" t="str" cm="1">
        <f t="array" ref="G744">_xlfn.IFS(
  ISNUMBER(SEARCH("Core", C744)), "Core Platform",
  ISNUMBER(SEARCH("Analytics", C744)), "Analytics",
  ISNUMBER(SEARCH("Automation", C744)), "Automation"
)</f>
        <v>Core Platform</v>
      </c>
    </row>
    <row r="745" spans="1:7" x14ac:dyDescent="0.35">
      <c r="A745" t="s">
        <v>22</v>
      </c>
      <c r="B745" t="s">
        <v>23</v>
      </c>
      <c r="C745" t="s">
        <v>10</v>
      </c>
      <c r="D745" s="1">
        <v>45931</v>
      </c>
      <c r="E745" s="3">
        <v>15000</v>
      </c>
      <c r="F745" t="str">
        <f>+TRIM(B745)</f>
        <v>Ridgeline HVAC</v>
      </c>
      <c r="G745" t="str" cm="1">
        <f t="array" ref="G745">_xlfn.IFS(
  ISNUMBER(SEARCH("Core", C745)), "Core Platform",
  ISNUMBER(SEARCH("Analytics", C745)), "Analytics",
  ISNUMBER(SEARCH("Automation", C745)), "Automation"
)</f>
        <v>Analytics</v>
      </c>
    </row>
    <row r="746" spans="1:7" x14ac:dyDescent="0.35">
      <c r="A746" t="s">
        <v>70</v>
      </c>
      <c r="B746" t="s">
        <v>71</v>
      </c>
      <c r="C746" t="s">
        <v>10</v>
      </c>
      <c r="D746" s="1">
        <v>45870</v>
      </c>
      <c r="E746" s="3">
        <v>27000</v>
      </c>
      <c r="F746" t="str">
        <f>+TRIM(B746)</f>
        <v>Vertex Manufacturing</v>
      </c>
      <c r="G746" t="str" cm="1">
        <f t="array" ref="G746">_xlfn.IFS(
  ISNUMBER(SEARCH("Core", C746)), "Core Platform",
  ISNUMBER(SEARCH("Analytics", C746)), "Analytics",
  ISNUMBER(SEARCH("Automation", C746)), "Automation"
)</f>
        <v>Analytics</v>
      </c>
    </row>
    <row r="747" spans="1:7" x14ac:dyDescent="0.35">
      <c r="A747" t="s">
        <v>31</v>
      </c>
      <c r="B747" t="s">
        <v>32</v>
      </c>
      <c r="C747" t="s">
        <v>16</v>
      </c>
      <c r="D747" s="1">
        <v>45748</v>
      </c>
      <c r="E747" s="3">
        <v>77000</v>
      </c>
      <c r="F747" t="str">
        <f>+TRIM(B747)</f>
        <v>Summit Fire Protection</v>
      </c>
      <c r="G747" t="str" cm="1">
        <f t="array" ref="G747">_xlfn.IFS(
  ISNUMBER(SEARCH("Core", C747)), "Core Platform",
  ISNUMBER(SEARCH("Analytics", C747)), "Analytics",
  ISNUMBER(SEARCH("Automation", C747)), "Automation"
)</f>
        <v>Core Platform</v>
      </c>
    </row>
    <row r="748" spans="1:7" x14ac:dyDescent="0.35">
      <c r="A748" t="s">
        <v>43</v>
      </c>
      <c r="B748" t="s">
        <v>44</v>
      </c>
      <c r="C748" t="s">
        <v>16</v>
      </c>
      <c r="D748" s="1">
        <v>45839</v>
      </c>
      <c r="E748" s="3">
        <v>70000</v>
      </c>
      <c r="F748" t="str">
        <f>+TRIM(B748)</f>
        <v>Harborview Plumbing</v>
      </c>
      <c r="G748" t="str" cm="1">
        <f t="array" ref="G748">_xlfn.IFS(
  ISNUMBER(SEARCH("Core", C748)), "Core Platform",
  ISNUMBER(SEARCH("Analytics", C748)), "Analytics",
  ISNUMBER(SEARCH("Automation", C748)), "Automation"
)</f>
        <v>Core Platform</v>
      </c>
    </row>
    <row r="749" spans="1:7" x14ac:dyDescent="0.35">
      <c r="A749" t="s">
        <v>17</v>
      </c>
      <c r="B749" t="s">
        <v>18</v>
      </c>
      <c r="C749" t="s">
        <v>28</v>
      </c>
      <c r="D749" s="1">
        <v>45962</v>
      </c>
      <c r="E749" s="3">
        <v>90000</v>
      </c>
      <c r="F749" t="str">
        <f>+TRIM(B749)</f>
        <v>Ironclad Security</v>
      </c>
      <c r="G749" t="str" cm="1">
        <f t="array" ref="G749">_xlfn.IFS(
  ISNUMBER(SEARCH("Core", C749)), "Core Platform",
  ISNUMBER(SEARCH("Analytics", C749)), "Analytics",
  ISNUMBER(SEARCH("Automation", C749)), "Automation"
)</f>
        <v>Core Platform</v>
      </c>
    </row>
    <row r="750" spans="1:7" x14ac:dyDescent="0.35">
      <c r="A750" t="s">
        <v>78</v>
      </c>
      <c r="B750" t="s">
        <v>79</v>
      </c>
      <c r="C750" t="s">
        <v>16</v>
      </c>
      <c r="D750" s="1">
        <v>45748</v>
      </c>
      <c r="E750" s="3">
        <v>49000</v>
      </c>
      <c r="F750" t="str">
        <f>+TRIM(B750)</f>
        <v>Orion Building Systems</v>
      </c>
      <c r="G750" t="str" cm="1">
        <f t="array" ref="G750">_xlfn.IFS(
  ISNUMBER(SEARCH("Core", C750)), "Core Platform",
  ISNUMBER(SEARCH("Analytics", C750)), "Analytics",
  ISNUMBER(SEARCH("Automation", C750)), "Automation"
)</f>
        <v>Core Platform</v>
      </c>
    </row>
    <row r="751" spans="1:7" x14ac:dyDescent="0.35">
      <c r="A751" t="s">
        <v>91</v>
      </c>
      <c r="B751" t="s">
        <v>92</v>
      </c>
      <c r="C751" t="s">
        <v>21</v>
      </c>
      <c r="D751" s="1">
        <v>45931</v>
      </c>
      <c r="E751" s="3">
        <v>19000</v>
      </c>
      <c r="F751" t="str">
        <f>+TRIM(B751)</f>
        <v>Trailhead Equipment</v>
      </c>
      <c r="G751" t="str" cm="1">
        <f t="array" ref="G751">_xlfn.IFS(
  ISNUMBER(SEARCH("Core", C751)), "Core Platform",
  ISNUMBER(SEARCH("Analytics", C751)), "Analytics",
  ISNUMBER(SEARCH("Automation", C751)), "Automation"
)</f>
        <v>Automation</v>
      </c>
    </row>
    <row r="752" spans="1:7" x14ac:dyDescent="0.35">
      <c r="A752" t="s">
        <v>41</v>
      </c>
      <c r="B752" t="s">
        <v>42</v>
      </c>
      <c r="C752" t="s">
        <v>21</v>
      </c>
      <c r="D752" s="1">
        <v>45901</v>
      </c>
      <c r="E752" s="3">
        <v>22000</v>
      </c>
      <c r="F752" t="str">
        <f>+TRIM(B752)</f>
        <v>Delta Refrigeration</v>
      </c>
      <c r="G752" t="str" cm="1">
        <f t="array" ref="G752">_xlfn.IFS(
  ISNUMBER(SEARCH("Core", C752)), "Core Platform",
  ISNUMBER(SEARCH("Analytics", C752)), "Analytics",
  ISNUMBER(SEARCH("Automation", C752)), "Automation"
)</f>
        <v>Automation</v>
      </c>
    </row>
    <row r="753" spans="1:7" x14ac:dyDescent="0.35">
      <c r="A753" t="s">
        <v>62</v>
      </c>
      <c r="B753" t="s">
        <v>63</v>
      </c>
      <c r="C753" t="s">
        <v>28</v>
      </c>
      <c r="D753" s="1">
        <v>45931</v>
      </c>
      <c r="E753" s="3">
        <v>36000</v>
      </c>
      <c r="F753" t="str">
        <f>+TRIM(B753)</f>
        <v>Copperfield Electrical</v>
      </c>
      <c r="G753" t="str" cm="1">
        <f t="array" ref="G753">_xlfn.IFS(
  ISNUMBER(SEARCH("Core", C753)), "Core Platform",
  ISNUMBER(SEARCH("Analytics", C753)), "Analytics",
  ISNUMBER(SEARCH("Automation", C753)), "Automation"
)</f>
        <v>Core Platform</v>
      </c>
    </row>
    <row r="754" spans="1:7" x14ac:dyDescent="0.35">
      <c r="A754" t="s">
        <v>60</v>
      </c>
      <c r="B754" t="s">
        <v>61</v>
      </c>
      <c r="C754" t="s">
        <v>7</v>
      </c>
      <c r="D754" s="1">
        <v>45748</v>
      </c>
      <c r="E754" s="3">
        <v>23000</v>
      </c>
      <c r="F754" t="str">
        <f>+TRIM(B754)</f>
        <v>Redwood Field Services</v>
      </c>
      <c r="G754" t="str" cm="1">
        <f t="array" ref="G754">_xlfn.IFS(
  ISNUMBER(SEARCH("Core", C754)), "Core Platform",
  ISNUMBER(SEARCH("Analytics", C754)), "Analytics",
  ISNUMBER(SEARCH("Automation", C754)), "Automation"
)</f>
        <v>Analytics</v>
      </c>
    </row>
    <row r="755" spans="1:7" x14ac:dyDescent="0.35">
      <c r="A755" t="s">
        <v>62</v>
      </c>
      <c r="B755" t="s">
        <v>63</v>
      </c>
      <c r="C755" t="s">
        <v>16</v>
      </c>
      <c r="D755" s="1">
        <v>45748</v>
      </c>
      <c r="E755" s="3">
        <v>62000</v>
      </c>
      <c r="F755" t="str">
        <f>+TRIM(B755)</f>
        <v>Copperfield Electrical</v>
      </c>
      <c r="G755" t="str" cm="1">
        <f t="array" ref="G755">_xlfn.IFS(
  ISNUMBER(SEARCH("Core", C755)), "Core Platform",
  ISNUMBER(SEARCH("Analytics", C755)), "Analytics",
  ISNUMBER(SEARCH("Automation", C755)), "Automation"
)</f>
        <v>Core Platform</v>
      </c>
    </row>
  </sheetData>
  <autoFilter ref="A1:G755" xr:uid="{C5946735-1F1A-4250-85D3-7C91CD80445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FCCA-38A4-4ACC-B061-D1CFD9E81817}">
  <dimension ref="A1:H16"/>
  <sheetViews>
    <sheetView workbookViewId="0">
      <selection activeCell="B1" sqref="B1:H1"/>
    </sheetView>
  </sheetViews>
  <sheetFormatPr baseColWidth="10" defaultRowHeight="14.5" x14ac:dyDescent="0.35"/>
  <cols>
    <col min="2" max="2" width="14.26953125" bestFit="1" customWidth="1"/>
    <col min="3" max="3" width="13.90625" bestFit="1" customWidth="1"/>
    <col min="5" max="5" width="12.1796875" bestFit="1" customWidth="1"/>
    <col min="6" max="6" width="12.1796875" customWidth="1"/>
  </cols>
  <sheetData>
    <row r="1" spans="1:8" x14ac:dyDescent="0.35">
      <c r="A1" s="14" t="s">
        <v>158</v>
      </c>
      <c r="B1" s="14" t="s">
        <v>162</v>
      </c>
      <c r="C1" s="14" t="s">
        <v>163</v>
      </c>
      <c r="D1" s="14" t="s">
        <v>156</v>
      </c>
      <c r="E1" s="14" t="s">
        <v>164</v>
      </c>
      <c r="F1" s="14" t="s">
        <v>165</v>
      </c>
      <c r="G1" s="14" t="s">
        <v>138</v>
      </c>
      <c r="H1" s="14" t="s">
        <v>137</v>
      </c>
    </row>
    <row r="2" spans="1:8" x14ac:dyDescent="0.35">
      <c r="A2" s="14" t="s">
        <v>154</v>
      </c>
      <c r="B2" s="12">
        <v>86</v>
      </c>
      <c r="C2" s="12">
        <f>IF(B2=820, 82, B2)</f>
        <v>86</v>
      </c>
      <c r="D2" s="12">
        <v>29</v>
      </c>
      <c r="E2" s="12">
        <v>19</v>
      </c>
      <c r="F2" s="12">
        <f>IF(E2="", 24, E2)</f>
        <v>19</v>
      </c>
      <c r="G2" s="12">
        <v>4</v>
      </c>
      <c r="H2" s="12">
        <v>160000</v>
      </c>
    </row>
    <row r="3" spans="1:8" x14ac:dyDescent="0.35">
      <c r="A3" s="14" t="s">
        <v>153</v>
      </c>
      <c r="B3" s="12">
        <v>88</v>
      </c>
      <c r="C3" s="12">
        <f>IF(B3=820, 82, B3)</f>
        <v>88</v>
      </c>
      <c r="D3" s="12">
        <v>29</v>
      </c>
      <c r="E3" s="12">
        <v>17</v>
      </c>
      <c r="F3" s="12">
        <f t="shared" ref="F3:F13" si="0">IF(E3="", 24, E3)</f>
        <v>17</v>
      </c>
      <c r="G3" s="12">
        <v>5</v>
      </c>
      <c r="H3" s="12">
        <v>164000</v>
      </c>
    </row>
    <row r="4" spans="1:8" x14ac:dyDescent="0.35">
      <c r="A4" s="14" t="s">
        <v>152</v>
      </c>
      <c r="B4" s="12">
        <v>820</v>
      </c>
      <c r="C4" s="12">
        <f>IF(B4=820, 82, B4)</f>
        <v>82</v>
      </c>
      <c r="D4" s="12">
        <v>32</v>
      </c>
      <c r="E4" s="12">
        <v>22</v>
      </c>
      <c r="F4" s="12">
        <f t="shared" si="0"/>
        <v>22</v>
      </c>
      <c r="G4" s="12">
        <v>6</v>
      </c>
      <c r="H4" s="12">
        <v>206000</v>
      </c>
    </row>
    <row r="5" spans="1:8" x14ac:dyDescent="0.35">
      <c r="A5" s="14" t="s">
        <v>151</v>
      </c>
      <c r="B5" s="12">
        <v>84</v>
      </c>
      <c r="C5" s="12">
        <f t="shared" ref="C5:C13" si="1">IF(B5=820, 82, B5)</f>
        <v>84</v>
      </c>
      <c r="D5" s="12">
        <v>36</v>
      </c>
      <c r="E5" s="12">
        <v>21</v>
      </c>
      <c r="F5" s="12">
        <f t="shared" si="0"/>
        <v>21</v>
      </c>
      <c r="G5" s="12">
        <v>5</v>
      </c>
      <c r="H5" s="12">
        <v>150000</v>
      </c>
    </row>
    <row r="6" spans="1:8" x14ac:dyDescent="0.35">
      <c r="A6" s="14" t="s">
        <v>150</v>
      </c>
      <c r="B6" s="12">
        <v>92</v>
      </c>
      <c r="C6" s="12">
        <f t="shared" si="1"/>
        <v>92</v>
      </c>
      <c r="D6" s="12">
        <v>38</v>
      </c>
      <c r="E6" s="12">
        <v>18</v>
      </c>
      <c r="F6" s="12">
        <f t="shared" si="0"/>
        <v>18</v>
      </c>
      <c r="G6" s="12">
        <v>5</v>
      </c>
      <c r="H6" s="12">
        <v>210000</v>
      </c>
    </row>
    <row r="7" spans="1:8" x14ac:dyDescent="0.35">
      <c r="A7" s="14" t="s">
        <v>149</v>
      </c>
      <c r="B7" s="12">
        <v>90</v>
      </c>
      <c r="C7" s="12">
        <f t="shared" si="1"/>
        <v>90</v>
      </c>
      <c r="D7" s="12">
        <v>37</v>
      </c>
      <c r="E7" s="12">
        <v>21</v>
      </c>
      <c r="F7" s="12">
        <f t="shared" si="0"/>
        <v>21</v>
      </c>
      <c r="G7" s="12">
        <v>6</v>
      </c>
      <c r="H7" s="12">
        <v>190000</v>
      </c>
    </row>
    <row r="8" spans="1:8" x14ac:dyDescent="0.35">
      <c r="A8" s="14" t="s">
        <v>148</v>
      </c>
      <c r="B8" s="12">
        <v>98</v>
      </c>
      <c r="C8" s="12">
        <f t="shared" si="1"/>
        <v>98</v>
      </c>
      <c r="D8" s="12">
        <v>32</v>
      </c>
      <c r="E8" s="12">
        <v>20</v>
      </c>
      <c r="F8" s="12">
        <f t="shared" si="0"/>
        <v>20</v>
      </c>
      <c r="G8" s="12">
        <v>7</v>
      </c>
      <c r="H8" s="12">
        <v>270000</v>
      </c>
    </row>
    <row r="9" spans="1:8" x14ac:dyDescent="0.35">
      <c r="A9" s="14" t="s">
        <v>147</v>
      </c>
      <c r="B9" s="12">
        <v>100</v>
      </c>
      <c r="C9" s="12">
        <f t="shared" si="1"/>
        <v>100</v>
      </c>
      <c r="D9" s="12">
        <v>43</v>
      </c>
      <c r="E9" s="12"/>
      <c r="F9" s="12">
        <f>IF(E9="", 24, E9)</f>
        <v>24</v>
      </c>
      <c r="G9" s="12">
        <v>6</v>
      </c>
      <c r="H9" s="12">
        <v>236000</v>
      </c>
    </row>
    <row r="10" spans="1:8" x14ac:dyDescent="0.35">
      <c r="A10" s="14" t="s">
        <v>146</v>
      </c>
      <c r="B10" s="12">
        <v>114</v>
      </c>
      <c r="C10" s="12">
        <f t="shared" si="1"/>
        <v>114</v>
      </c>
      <c r="D10" s="12">
        <v>41</v>
      </c>
      <c r="E10" s="12">
        <v>27</v>
      </c>
      <c r="F10" s="12">
        <f t="shared" si="0"/>
        <v>27</v>
      </c>
      <c r="G10" s="12">
        <v>7</v>
      </c>
      <c r="H10" s="12">
        <v>279000</v>
      </c>
    </row>
    <row r="11" spans="1:8" x14ac:dyDescent="0.35">
      <c r="A11" s="14" t="s">
        <v>145</v>
      </c>
      <c r="B11" s="12">
        <v>130</v>
      </c>
      <c r="C11" s="12">
        <f t="shared" si="1"/>
        <v>130</v>
      </c>
      <c r="D11" s="12">
        <v>39</v>
      </c>
      <c r="E11" s="12">
        <v>26</v>
      </c>
      <c r="F11" s="12">
        <f t="shared" si="0"/>
        <v>26</v>
      </c>
      <c r="G11" s="12">
        <v>7</v>
      </c>
      <c r="H11" s="12">
        <v>230000</v>
      </c>
    </row>
    <row r="12" spans="1:8" x14ac:dyDescent="0.35">
      <c r="A12" s="14" t="s">
        <v>144</v>
      </c>
      <c r="B12" s="12">
        <v>118</v>
      </c>
      <c r="C12" s="12">
        <f t="shared" si="1"/>
        <v>118</v>
      </c>
      <c r="D12" s="12">
        <v>38</v>
      </c>
      <c r="E12" s="12">
        <v>25</v>
      </c>
      <c r="F12" s="12">
        <f t="shared" si="0"/>
        <v>25</v>
      </c>
      <c r="G12" s="12">
        <v>8</v>
      </c>
      <c r="H12" s="12">
        <v>268000</v>
      </c>
    </row>
    <row r="13" spans="1:8" x14ac:dyDescent="0.35">
      <c r="A13" s="14" t="s">
        <v>143</v>
      </c>
      <c r="B13" s="12">
        <v>134</v>
      </c>
      <c r="C13" s="12">
        <f t="shared" si="1"/>
        <v>134</v>
      </c>
      <c r="D13" s="12">
        <v>48</v>
      </c>
      <c r="E13" s="12">
        <v>24</v>
      </c>
      <c r="F13" s="12">
        <f t="shared" si="0"/>
        <v>24</v>
      </c>
      <c r="G13" s="12">
        <v>8</v>
      </c>
      <c r="H13" s="12">
        <v>302000</v>
      </c>
    </row>
    <row r="16" spans="1:8" x14ac:dyDescent="0.35">
      <c r="A16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43A6-6EDD-4EB6-8A8C-C0E2C72A4227}">
  <dimension ref="A1:E761"/>
  <sheetViews>
    <sheetView topLeftCell="A730" workbookViewId="0">
      <selection sqref="A1:E761"/>
    </sheetView>
  </sheetViews>
  <sheetFormatPr baseColWidth="10" defaultRowHeight="14.5" x14ac:dyDescent="0.35"/>
  <cols>
    <col min="1" max="1" width="11.7265625" bestFit="1" customWidth="1"/>
    <col min="2" max="2" width="24" bestFit="1" customWidth="1"/>
    <col min="3" max="3" width="15.08984375" bestFit="1" customWidth="1"/>
    <col min="4" max="4" width="17.7265625" bestFit="1" customWidth="1"/>
    <col min="5" max="5" width="8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45901</v>
      </c>
      <c r="E2">
        <v>24000</v>
      </c>
    </row>
    <row r="3" spans="1:5" x14ac:dyDescent="0.35">
      <c r="A3" t="s">
        <v>8</v>
      </c>
      <c r="B3" t="s">
        <v>9</v>
      </c>
      <c r="C3" t="s">
        <v>10</v>
      </c>
      <c r="D3" s="1">
        <v>45992</v>
      </c>
      <c r="E3">
        <v>35000</v>
      </c>
    </row>
    <row r="4" spans="1:5" x14ac:dyDescent="0.35">
      <c r="A4" t="s">
        <v>11</v>
      </c>
      <c r="B4" t="s">
        <v>12</v>
      </c>
      <c r="C4" t="s">
        <v>13</v>
      </c>
      <c r="D4" s="1">
        <v>45931</v>
      </c>
      <c r="E4">
        <v>27000</v>
      </c>
    </row>
    <row r="5" spans="1:5" x14ac:dyDescent="0.35">
      <c r="A5" t="s">
        <v>14</v>
      </c>
      <c r="B5" t="s">
        <v>15</v>
      </c>
      <c r="C5" t="s">
        <v>16</v>
      </c>
      <c r="D5" s="1">
        <v>45870</v>
      </c>
      <c r="E5">
        <v>79000</v>
      </c>
    </row>
    <row r="6" spans="1:5" x14ac:dyDescent="0.35">
      <c r="A6" t="s">
        <v>17</v>
      </c>
      <c r="B6" t="s">
        <v>18</v>
      </c>
      <c r="C6" t="s">
        <v>10</v>
      </c>
      <c r="D6" s="1">
        <v>45992</v>
      </c>
      <c r="E6">
        <v>45000</v>
      </c>
    </row>
    <row r="7" spans="1:5" x14ac:dyDescent="0.35">
      <c r="A7" t="s">
        <v>19</v>
      </c>
      <c r="B7" t="s">
        <v>20</v>
      </c>
      <c r="C7" t="s">
        <v>21</v>
      </c>
      <c r="D7" s="1">
        <v>45839</v>
      </c>
      <c r="E7">
        <v>10000</v>
      </c>
    </row>
    <row r="8" spans="1:5" x14ac:dyDescent="0.35">
      <c r="A8" t="s">
        <v>22</v>
      </c>
      <c r="B8" t="s">
        <v>23</v>
      </c>
      <c r="C8" t="s">
        <v>10</v>
      </c>
      <c r="D8" s="1">
        <v>45870</v>
      </c>
      <c r="E8">
        <v>15000</v>
      </c>
    </row>
    <row r="9" spans="1:5" x14ac:dyDescent="0.35">
      <c r="A9" t="s">
        <v>24</v>
      </c>
      <c r="B9" t="s">
        <v>25</v>
      </c>
      <c r="C9" t="s">
        <v>10</v>
      </c>
      <c r="D9" s="1">
        <v>45748</v>
      </c>
      <c r="E9">
        <v>38000</v>
      </c>
    </row>
    <row r="10" spans="1:5" x14ac:dyDescent="0.35">
      <c r="A10" t="s">
        <v>26</v>
      </c>
      <c r="B10" t="s">
        <v>27</v>
      </c>
      <c r="C10" t="s">
        <v>28</v>
      </c>
      <c r="D10" s="1">
        <v>45962</v>
      </c>
      <c r="E10">
        <v>72000</v>
      </c>
    </row>
    <row r="11" spans="1:5" x14ac:dyDescent="0.35">
      <c r="A11" t="s">
        <v>29</v>
      </c>
      <c r="B11" t="s">
        <v>30</v>
      </c>
      <c r="C11" t="s">
        <v>7</v>
      </c>
      <c r="D11" s="1">
        <v>45717</v>
      </c>
      <c r="E11">
        <v>36000</v>
      </c>
    </row>
    <row r="12" spans="1:5" x14ac:dyDescent="0.35">
      <c r="A12" t="s">
        <v>31</v>
      </c>
      <c r="B12" t="s">
        <v>32</v>
      </c>
      <c r="C12" t="s">
        <v>28</v>
      </c>
      <c r="D12" s="1">
        <v>45778</v>
      </c>
      <c r="E12">
        <v>77000</v>
      </c>
    </row>
    <row r="13" spans="1:5" x14ac:dyDescent="0.35">
      <c r="A13" t="s">
        <v>17</v>
      </c>
      <c r="B13" t="s">
        <v>18</v>
      </c>
      <c r="C13" t="s">
        <v>21</v>
      </c>
      <c r="D13" s="1">
        <v>45627</v>
      </c>
      <c r="E13">
        <v>8000</v>
      </c>
    </row>
    <row r="14" spans="1:5" x14ac:dyDescent="0.35">
      <c r="A14" t="s">
        <v>33</v>
      </c>
      <c r="B14" t="s">
        <v>34</v>
      </c>
      <c r="C14" t="s">
        <v>28</v>
      </c>
      <c r="D14" s="1">
        <v>45992</v>
      </c>
      <c r="E14">
        <v>66000</v>
      </c>
    </row>
    <row r="15" spans="1:5" x14ac:dyDescent="0.35">
      <c r="A15" t="s">
        <v>35</v>
      </c>
      <c r="B15" t="s">
        <v>36</v>
      </c>
      <c r="C15" t="s">
        <v>10</v>
      </c>
      <c r="D15" s="1">
        <v>45931</v>
      </c>
      <c r="E15">
        <v>13000</v>
      </c>
    </row>
    <row r="16" spans="1:5" x14ac:dyDescent="0.35">
      <c r="A16" t="s">
        <v>37</v>
      </c>
      <c r="B16" t="s">
        <v>38</v>
      </c>
      <c r="C16" t="s">
        <v>10</v>
      </c>
      <c r="D16" s="1">
        <v>45992</v>
      </c>
      <c r="E16">
        <v>19000</v>
      </c>
    </row>
    <row r="17" spans="1:5" x14ac:dyDescent="0.35">
      <c r="A17" t="s">
        <v>39</v>
      </c>
      <c r="B17" t="s">
        <v>40</v>
      </c>
      <c r="C17" t="s">
        <v>28</v>
      </c>
      <c r="D17" s="1">
        <v>45748</v>
      </c>
      <c r="E17">
        <v>60000</v>
      </c>
    </row>
    <row r="18" spans="1:5" x14ac:dyDescent="0.35">
      <c r="A18" t="s">
        <v>41</v>
      </c>
      <c r="B18" t="s">
        <v>42</v>
      </c>
      <c r="C18" t="s">
        <v>21</v>
      </c>
      <c r="D18" s="1">
        <v>45992</v>
      </c>
      <c r="E18">
        <v>22000</v>
      </c>
    </row>
    <row r="19" spans="1:5" x14ac:dyDescent="0.35">
      <c r="A19" t="s">
        <v>43</v>
      </c>
      <c r="B19" t="s">
        <v>44</v>
      </c>
      <c r="C19" t="s">
        <v>28</v>
      </c>
      <c r="D19" s="1">
        <v>45809</v>
      </c>
      <c r="E19">
        <v>70000</v>
      </c>
    </row>
    <row r="20" spans="1:5" x14ac:dyDescent="0.35">
      <c r="A20" t="s">
        <v>19</v>
      </c>
      <c r="B20" t="s">
        <v>20</v>
      </c>
      <c r="C20" t="s">
        <v>10</v>
      </c>
      <c r="D20" s="1">
        <v>45658</v>
      </c>
      <c r="E20">
        <v>30000</v>
      </c>
    </row>
    <row r="21" spans="1:5" x14ac:dyDescent="0.35">
      <c r="A21" t="s">
        <v>24</v>
      </c>
      <c r="B21" t="s">
        <v>45</v>
      </c>
      <c r="C21" t="s">
        <v>16</v>
      </c>
      <c r="D21" s="1">
        <v>45901</v>
      </c>
      <c r="E21">
        <v>100000</v>
      </c>
    </row>
    <row r="22" spans="1:5" x14ac:dyDescent="0.35">
      <c r="A22" t="s">
        <v>41</v>
      </c>
      <c r="B22" t="s">
        <v>42</v>
      </c>
      <c r="C22" t="s">
        <v>16</v>
      </c>
      <c r="D22" s="1">
        <v>45870</v>
      </c>
      <c r="E22">
        <v>102000</v>
      </c>
    </row>
    <row r="23" spans="1:5" x14ac:dyDescent="0.35">
      <c r="A23" t="s">
        <v>29</v>
      </c>
      <c r="B23" t="s">
        <v>46</v>
      </c>
      <c r="C23" t="s">
        <v>10</v>
      </c>
      <c r="D23" s="1">
        <v>45962</v>
      </c>
      <c r="E23" s="2" t="s">
        <v>47</v>
      </c>
    </row>
    <row r="24" spans="1:5" x14ac:dyDescent="0.35">
      <c r="A24" t="s">
        <v>5</v>
      </c>
      <c r="B24" t="s">
        <v>6</v>
      </c>
      <c r="C24" t="s">
        <v>10</v>
      </c>
      <c r="D24" s="1">
        <v>45962</v>
      </c>
      <c r="E24">
        <v>24000</v>
      </c>
    </row>
    <row r="25" spans="1:5" x14ac:dyDescent="0.35">
      <c r="A25" t="s">
        <v>19</v>
      </c>
      <c r="B25" t="s">
        <v>20</v>
      </c>
      <c r="C25" t="s">
        <v>21</v>
      </c>
      <c r="D25" s="1">
        <v>45748</v>
      </c>
      <c r="E25">
        <v>10000</v>
      </c>
    </row>
    <row r="26" spans="1:5" x14ac:dyDescent="0.35">
      <c r="A26" t="s">
        <v>29</v>
      </c>
      <c r="B26" t="s">
        <v>46</v>
      </c>
      <c r="C26" t="s">
        <v>16</v>
      </c>
      <c r="D26" s="1">
        <v>45839</v>
      </c>
      <c r="E26">
        <v>60000</v>
      </c>
    </row>
    <row r="27" spans="1:5" x14ac:dyDescent="0.35">
      <c r="A27" t="s">
        <v>48</v>
      </c>
      <c r="B27" t="s">
        <v>49</v>
      </c>
      <c r="C27" t="s">
        <v>10</v>
      </c>
      <c r="D27" s="1">
        <v>45901</v>
      </c>
      <c r="E27">
        <v>26000</v>
      </c>
    </row>
    <row r="28" spans="1:5" x14ac:dyDescent="0.35">
      <c r="A28" t="s">
        <v>48</v>
      </c>
      <c r="B28" t="s">
        <v>49</v>
      </c>
      <c r="C28" t="s">
        <v>21</v>
      </c>
      <c r="D28" s="1">
        <v>45778</v>
      </c>
      <c r="E28">
        <v>11000</v>
      </c>
    </row>
    <row r="29" spans="1:5" x14ac:dyDescent="0.35">
      <c r="A29" t="s">
        <v>48</v>
      </c>
      <c r="B29" t="s">
        <v>49</v>
      </c>
      <c r="C29" t="s">
        <v>50</v>
      </c>
      <c r="D29" s="1">
        <v>45717</v>
      </c>
      <c r="E29">
        <v>11000</v>
      </c>
    </row>
    <row r="30" spans="1:5" x14ac:dyDescent="0.35">
      <c r="A30" t="s">
        <v>43</v>
      </c>
      <c r="B30" t="s">
        <v>44</v>
      </c>
      <c r="C30" t="s">
        <v>28</v>
      </c>
      <c r="D30" s="1">
        <v>45658</v>
      </c>
      <c r="E30">
        <v>70000</v>
      </c>
    </row>
    <row r="31" spans="1:5" x14ac:dyDescent="0.35">
      <c r="A31" t="s">
        <v>51</v>
      </c>
      <c r="B31" t="s">
        <v>52</v>
      </c>
      <c r="C31" t="s">
        <v>13</v>
      </c>
      <c r="D31" s="1">
        <v>45717</v>
      </c>
      <c r="E31">
        <v>21000</v>
      </c>
    </row>
    <row r="32" spans="1:5" x14ac:dyDescent="0.35">
      <c r="A32" t="s">
        <v>53</v>
      </c>
      <c r="B32" t="s">
        <v>54</v>
      </c>
      <c r="C32" t="s">
        <v>10</v>
      </c>
      <c r="D32" s="1">
        <v>45627</v>
      </c>
      <c r="E32">
        <v>31000</v>
      </c>
    </row>
    <row r="33" spans="1:5" x14ac:dyDescent="0.35">
      <c r="A33" t="s">
        <v>5</v>
      </c>
      <c r="B33" t="s">
        <v>6</v>
      </c>
      <c r="C33" t="s">
        <v>28</v>
      </c>
      <c r="D33" s="1">
        <v>45870</v>
      </c>
      <c r="E33">
        <v>97000</v>
      </c>
    </row>
    <row r="34" spans="1:5" x14ac:dyDescent="0.35">
      <c r="A34" t="s">
        <v>43</v>
      </c>
      <c r="B34" t="s">
        <v>44</v>
      </c>
      <c r="C34" t="s">
        <v>28</v>
      </c>
      <c r="D34" s="1">
        <v>45748</v>
      </c>
      <c r="E34">
        <v>70000</v>
      </c>
    </row>
    <row r="35" spans="1:5" x14ac:dyDescent="0.35">
      <c r="A35" t="s">
        <v>8</v>
      </c>
      <c r="B35" t="s">
        <v>9</v>
      </c>
      <c r="C35" t="s">
        <v>10</v>
      </c>
      <c r="D35" s="1">
        <v>45962</v>
      </c>
      <c r="E35">
        <v>35000</v>
      </c>
    </row>
    <row r="36" spans="1:5" x14ac:dyDescent="0.35">
      <c r="A36" t="s">
        <v>48</v>
      </c>
      <c r="B36" t="s">
        <v>49</v>
      </c>
      <c r="C36" t="s">
        <v>50</v>
      </c>
      <c r="D36" s="1">
        <v>45901</v>
      </c>
      <c r="E36">
        <v>11000</v>
      </c>
    </row>
    <row r="37" spans="1:5" x14ac:dyDescent="0.35">
      <c r="A37" t="s">
        <v>55</v>
      </c>
      <c r="B37" t="s">
        <v>56</v>
      </c>
      <c r="C37" t="s">
        <v>28</v>
      </c>
      <c r="D37" s="1">
        <v>45931</v>
      </c>
      <c r="E37">
        <v>87000</v>
      </c>
    </row>
    <row r="38" spans="1:5" x14ac:dyDescent="0.35">
      <c r="A38" t="s">
        <v>17</v>
      </c>
      <c r="B38" t="s">
        <v>18</v>
      </c>
      <c r="C38" t="s">
        <v>16</v>
      </c>
      <c r="D38" s="1">
        <v>45931</v>
      </c>
      <c r="E38">
        <v>90000</v>
      </c>
    </row>
    <row r="39" spans="1:5" x14ac:dyDescent="0.35">
      <c r="A39" t="s">
        <v>39</v>
      </c>
      <c r="B39" t="s">
        <v>40</v>
      </c>
      <c r="C39" t="s">
        <v>28</v>
      </c>
      <c r="D39" s="1">
        <v>45962</v>
      </c>
      <c r="E39">
        <v>60000</v>
      </c>
    </row>
    <row r="40" spans="1:5" x14ac:dyDescent="0.35">
      <c r="A40" t="s">
        <v>53</v>
      </c>
      <c r="B40" t="s">
        <v>54</v>
      </c>
      <c r="C40" t="s">
        <v>28</v>
      </c>
      <c r="D40" s="1">
        <v>45778</v>
      </c>
      <c r="E40">
        <v>63000</v>
      </c>
    </row>
    <row r="41" spans="1:5" x14ac:dyDescent="0.35">
      <c r="A41" t="s">
        <v>19</v>
      </c>
      <c r="B41" t="s">
        <v>20</v>
      </c>
      <c r="C41" t="s">
        <v>13</v>
      </c>
      <c r="D41" s="1">
        <v>45992</v>
      </c>
      <c r="E41">
        <v>10000</v>
      </c>
    </row>
    <row r="42" spans="1:5" x14ac:dyDescent="0.35">
      <c r="A42" t="s">
        <v>51</v>
      </c>
      <c r="B42" t="s">
        <v>52</v>
      </c>
      <c r="C42" t="s">
        <v>16</v>
      </c>
      <c r="D42" s="1">
        <v>45717</v>
      </c>
      <c r="E42">
        <v>44000</v>
      </c>
    </row>
    <row r="43" spans="1:5" x14ac:dyDescent="0.35">
      <c r="A43" t="s">
        <v>57</v>
      </c>
      <c r="B43" t="s">
        <v>58</v>
      </c>
      <c r="C43" t="s">
        <v>28</v>
      </c>
      <c r="D43" s="1">
        <v>45931</v>
      </c>
      <c r="E43">
        <v>52000</v>
      </c>
    </row>
    <row r="44" spans="1:5" x14ac:dyDescent="0.35">
      <c r="A44" t="s">
        <v>29</v>
      </c>
      <c r="B44" t="s">
        <v>46</v>
      </c>
      <c r="C44" t="s">
        <v>16</v>
      </c>
      <c r="D44" s="1">
        <v>45992</v>
      </c>
      <c r="E44">
        <v>72000</v>
      </c>
    </row>
    <row r="45" spans="1:5" x14ac:dyDescent="0.35">
      <c r="A45" t="s">
        <v>11</v>
      </c>
      <c r="B45" t="s">
        <v>59</v>
      </c>
      <c r="C45" t="s">
        <v>21</v>
      </c>
      <c r="D45" s="1">
        <v>45992</v>
      </c>
      <c r="E45">
        <v>27000</v>
      </c>
    </row>
    <row r="46" spans="1:5" x14ac:dyDescent="0.35">
      <c r="A46" t="s">
        <v>60</v>
      </c>
      <c r="B46" t="s">
        <v>61</v>
      </c>
      <c r="C46" t="s">
        <v>21</v>
      </c>
      <c r="D46" s="1">
        <v>45809</v>
      </c>
      <c r="E46">
        <v>18000</v>
      </c>
    </row>
    <row r="47" spans="1:5" x14ac:dyDescent="0.35">
      <c r="A47" t="s">
        <v>24</v>
      </c>
      <c r="B47" t="s">
        <v>45</v>
      </c>
      <c r="C47" t="s">
        <v>21</v>
      </c>
      <c r="D47" s="1">
        <v>45870</v>
      </c>
      <c r="E47">
        <v>22000</v>
      </c>
    </row>
    <row r="48" spans="1:5" x14ac:dyDescent="0.35">
      <c r="A48" t="s">
        <v>22</v>
      </c>
      <c r="B48" t="s">
        <v>23</v>
      </c>
      <c r="C48" t="s">
        <v>16</v>
      </c>
      <c r="D48" s="1">
        <v>45717</v>
      </c>
      <c r="E48">
        <v>111000</v>
      </c>
    </row>
    <row r="49" spans="1:5" x14ac:dyDescent="0.35">
      <c r="A49" t="s">
        <v>33</v>
      </c>
      <c r="B49" t="s">
        <v>34</v>
      </c>
      <c r="C49" t="s">
        <v>16</v>
      </c>
      <c r="D49" s="1">
        <v>45809</v>
      </c>
      <c r="E49">
        <v>66000</v>
      </c>
    </row>
    <row r="50" spans="1:5" x14ac:dyDescent="0.35">
      <c r="A50" t="s">
        <v>33</v>
      </c>
      <c r="B50" t="s">
        <v>34</v>
      </c>
      <c r="C50" t="s">
        <v>10</v>
      </c>
      <c r="D50" s="1">
        <v>45839</v>
      </c>
      <c r="E50">
        <v>17000</v>
      </c>
    </row>
    <row r="51" spans="1:5" x14ac:dyDescent="0.35">
      <c r="A51" t="s">
        <v>60</v>
      </c>
      <c r="B51" t="s">
        <v>61</v>
      </c>
      <c r="C51" t="s">
        <v>16</v>
      </c>
      <c r="D51" s="1">
        <v>45658</v>
      </c>
      <c r="E51">
        <v>35000</v>
      </c>
    </row>
    <row r="52" spans="1:5" x14ac:dyDescent="0.35">
      <c r="A52" t="s">
        <v>19</v>
      </c>
      <c r="B52" t="s">
        <v>20</v>
      </c>
      <c r="C52" t="s">
        <v>21</v>
      </c>
      <c r="D52" s="1">
        <v>45901</v>
      </c>
      <c r="E52">
        <v>10000</v>
      </c>
    </row>
    <row r="53" spans="1:5" x14ac:dyDescent="0.35">
      <c r="A53" t="s">
        <v>62</v>
      </c>
      <c r="B53" t="s">
        <v>63</v>
      </c>
      <c r="C53" t="s">
        <v>16</v>
      </c>
      <c r="D53" s="1">
        <v>45901</v>
      </c>
      <c r="E53">
        <v>36000</v>
      </c>
    </row>
    <row r="54" spans="1:5" x14ac:dyDescent="0.35">
      <c r="A54" t="s">
        <v>19</v>
      </c>
      <c r="B54" t="s">
        <v>20</v>
      </c>
      <c r="C54" t="s">
        <v>28</v>
      </c>
      <c r="D54" s="1">
        <v>45689</v>
      </c>
      <c r="E54">
        <v>79000</v>
      </c>
    </row>
    <row r="55" spans="1:5" x14ac:dyDescent="0.35">
      <c r="A55" t="s">
        <v>57</v>
      </c>
      <c r="B55" t="s">
        <v>64</v>
      </c>
      <c r="C55" t="s">
        <v>65</v>
      </c>
      <c r="D55" s="1">
        <v>45809</v>
      </c>
      <c r="E55">
        <v>18000</v>
      </c>
    </row>
    <row r="56" spans="1:5" x14ac:dyDescent="0.35">
      <c r="A56" t="s">
        <v>24</v>
      </c>
      <c r="B56" t="s">
        <v>25</v>
      </c>
      <c r="C56" t="s">
        <v>7</v>
      </c>
      <c r="D56" s="1">
        <v>45809</v>
      </c>
      <c r="E56">
        <v>38000</v>
      </c>
    </row>
    <row r="57" spans="1:5" x14ac:dyDescent="0.35">
      <c r="A57" t="s">
        <v>33</v>
      </c>
      <c r="B57" t="s">
        <v>34</v>
      </c>
      <c r="C57" t="s">
        <v>28</v>
      </c>
      <c r="D57" s="1">
        <v>45931</v>
      </c>
      <c r="E57">
        <v>66000</v>
      </c>
    </row>
    <row r="58" spans="1:5" x14ac:dyDescent="0.35">
      <c r="A58" t="s">
        <v>24</v>
      </c>
      <c r="B58" t="s">
        <v>25</v>
      </c>
      <c r="C58" t="s">
        <v>28</v>
      </c>
      <c r="D58" s="1">
        <v>45689</v>
      </c>
      <c r="E58">
        <v>100000</v>
      </c>
    </row>
    <row r="59" spans="1:5" x14ac:dyDescent="0.35">
      <c r="A59" t="s">
        <v>66</v>
      </c>
      <c r="B59" t="s">
        <v>67</v>
      </c>
      <c r="C59" t="s">
        <v>13</v>
      </c>
      <c r="D59" s="1">
        <v>45931</v>
      </c>
      <c r="E59">
        <v>19000</v>
      </c>
    </row>
    <row r="60" spans="1:5" x14ac:dyDescent="0.35">
      <c r="A60" t="s">
        <v>68</v>
      </c>
      <c r="B60" t="s">
        <v>69</v>
      </c>
      <c r="C60" t="s">
        <v>28</v>
      </c>
      <c r="D60" s="1">
        <v>45901</v>
      </c>
      <c r="E60">
        <v>40000</v>
      </c>
    </row>
    <row r="61" spans="1:5" x14ac:dyDescent="0.35">
      <c r="A61" t="s">
        <v>48</v>
      </c>
      <c r="B61" t="s">
        <v>49</v>
      </c>
      <c r="C61" t="s">
        <v>28</v>
      </c>
      <c r="D61" s="1">
        <v>45778</v>
      </c>
      <c r="E61">
        <v>112000</v>
      </c>
    </row>
    <row r="62" spans="1:5" x14ac:dyDescent="0.35">
      <c r="A62" t="s">
        <v>70</v>
      </c>
      <c r="B62" t="s">
        <v>71</v>
      </c>
      <c r="C62" t="s">
        <v>13</v>
      </c>
      <c r="D62" s="1">
        <v>45992</v>
      </c>
      <c r="E62">
        <v>9000</v>
      </c>
    </row>
    <row r="63" spans="1:5" x14ac:dyDescent="0.35">
      <c r="A63" t="s">
        <v>19</v>
      </c>
      <c r="B63" t="s">
        <v>20</v>
      </c>
      <c r="C63" t="s">
        <v>28</v>
      </c>
      <c r="D63" s="1">
        <v>45839</v>
      </c>
      <c r="E63">
        <v>79000</v>
      </c>
    </row>
    <row r="64" spans="1:5" x14ac:dyDescent="0.35">
      <c r="A64" t="s">
        <v>53</v>
      </c>
      <c r="B64" t="s">
        <v>54</v>
      </c>
      <c r="C64" t="s">
        <v>65</v>
      </c>
      <c r="D64" s="1">
        <v>45931</v>
      </c>
      <c r="E64">
        <v>40000</v>
      </c>
    </row>
    <row r="65" spans="1:5" x14ac:dyDescent="0.35">
      <c r="A65" t="s">
        <v>72</v>
      </c>
      <c r="B65" t="s">
        <v>73</v>
      </c>
      <c r="C65" t="s">
        <v>65</v>
      </c>
      <c r="D65" s="1">
        <v>45931</v>
      </c>
      <c r="E65">
        <v>33000</v>
      </c>
    </row>
    <row r="66" spans="1:5" x14ac:dyDescent="0.35">
      <c r="A66" t="s">
        <v>43</v>
      </c>
      <c r="B66" t="s">
        <v>44</v>
      </c>
      <c r="C66" t="s">
        <v>28</v>
      </c>
      <c r="D66" s="1">
        <v>45901</v>
      </c>
      <c r="E66">
        <v>70000</v>
      </c>
    </row>
    <row r="67" spans="1:5" x14ac:dyDescent="0.35">
      <c r="A67" t="s">
        <v>74</v>
      </c>
      <c r="B67" t="s">
        <v>75</v>
      </c>
      <c r="C67" t="s">
        <v>28</v>
      </c>
      <c r="D67" s="1">
        <v>45809</v>
      </c>
      <c r="E67">
        <v>155000</v>
      </c>
    </row>
    <row r="68" spans="1:5" x14ac:dyDescent="0.35">
      <c r="A68" t="s">
        <v>60</v>
      </c>
      <c r="B68" t="s">
        <v>61</v>
      </c>
      <c r="C68" t="s">
        <v>65</v>
      </c>
      <c r="D68" s="1">
        <v>45809</v>
      </c>
      <c r="E68">
        <v>23000</v>
      </c>
    </row>
    <row r="69" spans="1:5" x14ac:dyDescent="0.35">
      <c r="A69" t="s">
        <v>17</v>
      </c>
      <c r="B69" t="s">
        <v>18</v>
      </c>
      <c r="C69" t="s">
        <v>13</v>
      </c>
      <c r="D69" s="1">
        <v>45809</v>
      </c>
      <c r="E69">
        <v>10000</v>
      </c>
    </row>
    <row r="70" spans="1:5" x14ac:dyDescent="0.35">
      <c r="A70" t="s">
        <v>26</v>
      </c>
      <c r="B70" t="s">
        <v>27</v>
      </c>
      <c r="C70" t="s">
        <v>21</v>
      </c>
      <c r="D70" s="1">
        <v>45870</v>
      </c>
      <c r="E70">
        <v>10000</v>
      </c>
    </row>
    <row r="71" spans="1:5" x14ac:dyDescent="0.35">
      <c r="A71" t="s">
        <v>33</v>
      </c>
      <c r="B71" t="s">
        <v>34</v>
      </c>
      <c r="C71" t="s">
        <v>10</v>
      </c>
      <c r="D71" s="1">
        <v>45992</v>
      </c>
      <c r="E71">
        <v>17000</v>
      </c>
    </row>
    <row r="72" spans="1:5" x14ac:dyDescent="0.35">
      <c r="A72" t="s">
        <v>60</v>
      </c>
      <c r="B72" t="s">
        <v>76</v>
      </c>
      <c r="C72" t="s">
        <v>21</v>
      </c>
      <c r="D72" s="1">
        <v>45658</v>
      </c>
      <c r="E72">
        <v>18000</v>
      </c>
    </row>
    <row r="73" spans="1:5" x14ac:dyDescent="0.35">
      <c r="A73" t="s">
        <v>17</v>
      </c>
      <c r="B73" t="s">
        <v>18</v>
      </c>
      <c r="C73" t="s">
        <v>21</v>
      </c>
      <c r="D73" s="1">
        <v>45931</v>
      </c>
      <c r="E73">
        <v>10000</v>
      </c>
    </row>
    <row r="74" spans="1:5" x14ac:dyDescent="0.35">
      <c r="A74" t="s">
        <v>48</v>
      </c>
      <c r="B74" t="s">
        <v>49</v>
      </c>
      <c r="C74" t="s">
        <v>65</v>
      </c>
      <c r="D74" s="1">
        <v>45809</v>
      </c>
      <c r="E74">
        <v>26000</v>
      </c>
    </row>
    <row r="75" spans="1:5" x14ac:dyDescent="0.35">
      <c r="A75" t="s">
        <v>74</v>
      </c>
      <c r="B75" t="s">
        <v>75</v>
      </c>
      <c r="C75" t="s">
        <v>16</v>
      </c>
      <c r="D75" s="1">
        <v>45627</v>
      </c>
      <c r="E75">
        <v>120000</v>
      </c>
    </row>
    <row r="76" spans="1:5" x14ac:dyDescent="0.35">
      <c r="A76" t="s">
        <v>31</v>
      </c>
      <c r="B76" t="s">
        <v>32</v>
      </c>
      <c r="C76" t="s">
        <v>28</v>
      </c>
      <c r="D76" s="1">
        <v>45689</v>
      </c>
      <c r="E76">
        <v>77000</v>
      </c>
    </row>
    <row r="77" spans="1:5" x14ac:dyDescent="0.35">
      <c r="A77" t="s">
        <v>19</v>
      </c>
      <c r="B77" t="s">
        <v>20</v>
      </c>
      <c r="C77" t="s">
        <v>16</v>
      </c>
      <c r="D77" s="1">
        <v>45778</v>
      </c>
      <c r="E77">
        <v>79000</v>
      </c>
    </row>
    <row r="78" spans="1:5" x14ac:dyDescent="0.35">
      <c r="A78" t="s">
        <v>5</v>
      </c>
      <c r="B78" t="s">
        <v>6</v>
      </c>
      <c r="C78" t="s">
        <v>50</v>
      </c>
      <c r="D78" s="1">
        <v>45809</v>
      </c>
      <c r="E78">
        <v>19000</v>
      </c>
    </row>
    <row r="79" spans="1:5" x14ac:dyDescent="0.35">
      <c r="A79" t="s">
        <v>39</v>
      </c>
      <c r="B79" t="s">
        <v>40</v>
      </c>
      <c r="C79" t="s">
        <v>7</v>
      </c>
      <c r="D79" s="1">
        <v>45809</v>
      </c>
      <c r="E79">
        <v>31000</v>
      </c>
    </row>
    <row r="80" spans="1:5" x14ac:dyDescent="0.35">
      <c r="A80" t="s">
        <v>24</v>
      </c>
      <c r="B80" t="s">
        <v>45</v>
      </c>
      <c r="C80" t="s">
        <v>10</v>
      </c>
      <c r="D80" s="1">
        <v>45901</v>
      </c>
      <c r="E80">
        <v>38000</v>
      </c>
    </row>
    <row r="81" spans="1:5" x14ac:dyDescent="0.35">
      <c r="A81" t="s">
        <v>66</v>
      </c>
      <c r="B81" t="s">
        <v>67</v>
      </c>
      <c r="C81" t="s">
        <v>16</v>
      </c>
      <c r="D81" s="1">
        <v>45870</v>
      </c>
      <c r="E81">
        <v>95000</v>
      </c>
    </row>
    <row r="82" spans="1:5" x14ac:dyDescent="0.35">
      <c r="A82" t="s">
        <v>19</v>
      </c>
      <c r="B82" t="s">
        <v>20</v>
      </c>
      <c r="C82" t="s">
        <v>21</v>
      </c>
      <c r="D82" s="1">
        <v>45870</v>
      </c>
      <c r="E82">
        <v>10000</v>
      </c>
    </row>
    <row r="83" spans="1:5" x14ac:dyDescent="0.35">
      <c r="A83" t="s">
        <v>29</v>
      </c>
      <c r="B83" t="s">
        <v>46</v>
      </c>
      <c r="C83" t="s">
        <v>28</v>
      </c>
      <c r="D83" s="1">
        <v>45658</v>
      </c>
      <c r="E83">
        <v>60000</v>
      </c>
    </row>
    <row r="84" spans="1:5" x14ac:dyDescent="0.35">
      <c r="A84" t="s">
        <v>11</v>
      </c>
      <c r="B84" t="s">
        <v>59</v>
      </c>
      <c r="C84" t="s">
        <v>28</v>
      </c>
      <c r="D84" s="1">
        <v>45931</v>
      </c>
      <c r="E84">
        <v>118000</v>
      </c>
    </row>
    <row r="85" spans="1:5" x14ac:dyDescent="0.35">
      <c r="A85" t="s">
        <v>19</v>
      </c>
      <c r="B85" t="s">
        <v>77</v>
      </c>
      <c r="C85" t="s">
        <v>13</v>
      </c>
      <c r="D85" s="1">
        <v>45809</v>
      </c>
      <c r="E85">
        <v>10000</v>
      </c>
    </row>
    <row r="86" spans="1:5" x14ac:dyDescent="0.35">
      <c r="A86" t="s">
        <v>41</v>
      </c>
      <c r="B86" t="s">
        <v>42</v>
      </c>
      <c r="C86" t="s">
        <v>16</v>
      </c>
      <c r="D86" s="1">
        <v>45839</v>
      </c>
      <c r="E86">
        <v>102000</v>
      </c>
    </row>
    <row r="87" spans="1:5" x14ac:dyDescent="0.35">
      <c r="A87" t="s">
        <v>70</v>
      </c>
      <c r="B87" t="s">
        <v>71</v>
      </c>
      <c r="C87" t="s">
        <v>16</v>
      </c>
      <c r="D87" s="1">
        <v>45809</v>
      </c>
      <c r="E87">
        <v>85000</v>
      </c>
    </row>
    <row r="88" spans="1:5" x14ac:dyDescent="0.35">
      <c r="A88" t="s">
        <v>60</v>
      </c>
      <c r="B88" t="s">
        <v>61</v>
      </c>
      <c r="C88" t="s">
        <v>16</v>
      </c>
      <c r="D88" s="1">
        <v>45992</v>
      </c>
      <c r="E88">
        <v>35000</v>
      </c>
    </row>
    <row r="89" spans="1:5" x14ac:dyDescent="0.35">
      <c r="A89" t="s">
        <v>11</v>
      </c>
      <c r="B89" t="s">
        <v>59</v>
      </c>
      <c r="C89" t="s">
        <v>7</v>
      </c>
      <c r="D89" s="1">
        <v>45992</v>
      </c>
      <c r="E89">
        <v>39000</v>
      </c>
    </row>
    <row r="90" spans="1:5" x14ac:dyDescent="0.35">
      <c r="A90" t="s">
        <v>22</v>
      </c>
      <c r="B90" t="s">
        <v>23</v>
      </c>
      <c r="C90" t="s">
        <v>28</v>
      </c>
      <c r="D90" s="1">
        <v>45870</v>
      </c>
      <c r="E90">
        <v>132000</v>
      </c>
    </row>
    <row r="91" spans="1:5" x14ac:dyDescent="0.35">
      <c r="A91" t="s">
        <v>68</v>
      </c>
      <c r="B91" t="s">
        <v>69</v>
      </c>
      <c r="C91" t="s">
        <v>28</v>
      </c>
      <c r="D91" s="1">
        <v>45809</v>
      </c>
      <c r="E91">
        <v>35000</v>
      </c>
    </row>
    <row r="92" spans="1:5" x14ac:dyDescent="0.35">
      <c r="A92" t="s">
        <v>8</v>
      </c>
      <c r="B92" t="s">
        <v>9</v>
      </c>
      <c r="C92" t="s">
        <v>28</v>
      </c>
      <c r="D92" s="1">
        <v>45931</v>
      </c>
      <c r="E92">
        <v>70000</v>
      </c>
    </row>
    <row r="93" spans="1:5" x14ac:dyDescent="0.35">
      <c r="A93" t="s">
        <v>78</v>
      </c>
      <c r="B93" t="s">
        <v>79</v>
      </c>
      <c r="C93" t="s">
        <v>16</v>
      </c>
      <c r="D93" s="1">
        <v>45778</v>
      </c>
      <c r="E93">
        <v>49000</v>
      </c>
    </row>
    <row r="94" spans="1:5" x14ac:dyDescent="0.35">
      <c r="A94" t="s">
        <v>78</v>
      </c>
      <c r="B94" t="s">
        <v>80</v>
      </c>
      <c r="C94" t="s">
        <v>10</v>
      </c>
      <c r="D94" s="1">
        <v>45931</v>
      </c>
      <c r="E94">
        <v>17000</v>
      </c>
    </row>
    <row r="95" spans="1:5" x14ac:dyDescent="0.35">
      <c r="A95" t="s">
        <v>41</v>
      </c>
      <c r="B95" t="s">
        <v>42</v>
      </c>
      <c r="C95" t="s">
        <v>10</v>
      </c>
      <c r="D95" s="1">
        <v>45931</v>
      </c>
      <c r="E95">
        <v>17000</v>
      </c>
    </row>
    <row r="96" spans="1:5" x14ac:dyDescent="0.35">
      <c r="A96" t="s">
        <v>35</v>
      </c>
      <c r="B96" t="s">
        <v>81</v>
      </c>
      <c r="C96" t="s">
        <v>10</v>
      </c>
      <c r="D96" s="1">
        <v>45962</v>
      </c>
      <c r="E96">
        <v>13000</v>
      </c>
    </row>
    <row r="97" spans="1:5" x14ac:dyDescent="0.35">
      <c r="A97" t="s">
        <v>19</v>
      </c>
      <c r="B97" t="s">
        <v>20</v>
      </c>
      <c r="C97" t="s">
        <v>28</v>
      </c>
      <c r="D97" s="1">
        <v>45901</v>
      </c>
      <c r="E97">
        <v>79000</v>
      </c>
    </row>
    <row r="98" spans="1:5" x14ac:dyDescent="0.35">
      <c r="A98" t="s">
        <v>48</v>
      </c>
      <c r="B98" t="s">
        <v>49</v>
      </c>
      <c r="C98" t="s">
        <v>16</v>
      </c>
      <c r="D98" s="1">
        <v>45748</v>
      </c>
      <c r="E98" s="2" t="s">
        <v>82</v>
      </c>
    </row>
    <row r="99" spans="1:5" x14ac:dyDescent="0.35">
      <c r="A99" t="s">
        <v>48</v>
      </c>
      <c r="B99" t="s">
        <v>49</v>
      </c>
      <c r="C99" t="s">
        <v>28</v>
      </c>
      <c r="D99" s="1">
        <v>45931</v>
      </c>
      <c r="E99">
        <v>112000</v>
      </c>
    </row>
    <row r="100" spans="1:5" x14ac:dyDescent="0.35">
      <c r="A100" t="s">
        <v>26</v>
      </c>
      <c r="B100" t="s">
        <v>27</v>
      </c>
      <c r="C100" t="s">
        <v>28</v>
      </c>
      <c r="D100" s="1">
        <v>45870</v>
      </c>
      <c r="E100">
        <v>72000</v>
      </c>
    </row>
    <row r="101" spans="1:5" x14ac:dyDescent="0.35">
      <c r="A101" t="s">
        <v>19</v>
      </c>
      <c r="B101" t="s">
        <v>20</v>
      </c>
      <c r="C101" t="s">
        <v>16</v>
      </c>
      <c r="D101" s="1">
        <v>45962</v>
      </c>
      <c r="E101">
        <v>90000</v>
      </c>
    </row>
    <row r="102" spans="1:5" x14ac:dyDescent="0.35">
      <c r="A102" t="s">
        <v>68</v>
      </c>
      <c r="B102" t="s">
        <v>69</v>
      </c>
      <c r="C102" t="s">
        <v>16</v>
      </c>
      <c r="D102" s="1">
        <v>45870</v>
      </c>
      <c r="E102" s="2" t="s">
        <v>83</v>
      </c>
    </row>
    <row r="103" spans="1:5" x14ac:dyDescent="0.35">
      <c r="A103" t="s">
        <v>60</v>
      </c>
      <c r="B103" t="s">
        <v>61</v>
      </c>
      <c r="C103" t="s">
        <v>10</v>
      </c>
      <c r="D103" s="1">
        <v>45992</v>
      </c>
      <c r="E103">
        <v>23000</v>
      </c>
    </row>
    <row r="104" spans="1:5" x14ac:dyDescent="0.35">
      <c r="A104" t="s">
        <v>68</v>
      </c>
      <c r="B104" t="s">
        <v>69</v>
      </c>
      <c r="C104" t="s">
        <v>21</v>
      </c>
      <c r="D104" s="1">
        <v>45992</v>
      </c>
      <c r="E104">
        <v>19000</v>
      </c>
    </row>
    <row r="105" spans="1:5" x14ac:dyDescent="0.35">
      <c r="A105" t="s">
        <v>22</v>
      </c>
      <c r="B105" t="s">
        <v>23</v>
      </c>
      <c r="C105" t="s">
        <v>16</v>
      </c>
      <c r="D105" s="1">
        <v>45778</v>
      </c>
      <c r="E105">
        <v>111000</v>
      </c>
    </row>
    <row r="106" spans="1:5" x14ac:dyDescent="0.35">
      <c r="A106" t="s">
        <v>5</v>
      </c>
      <c r="B106" t="s">
        <v>6</v>
      </c>
      <c r="C106" t="s">
        <v>28</v>
      </c>
      <c r="D106" s="1">
        <v>45962</v>
      </c>
      <c r="E106">
        <v>97000</v>
      </c>
    </row>
    <row r="107" spans="1:5" x14ac:dyDescent="0.35">
      <c r="A107" t="s">
        <v>19</v>
      </c>
      <c r="B107" t="s">
        <v>20</v>
      </c>
      <c r="C107" t="s">
        <v>10</v>
      </c>
      <c r="D107" s="1">
        <v>45931</v>
      </c>
      <c r="E107">
        <v>30000</v>
      </c>
    </row>
    <row r="108" spans="1:5" x14ac:dyDescent="0.35">
      <c r="A108" t="s">
        <v>48</v>
      </c>
      <c r="B108" t="s">
        <v>49</v>
      </c>
      <c r="C108" t="s">
        <v>10</v>
      </c>
      <c r="D108" s="1">
        <v>45658</v>
      </c>
      <c r="E108">
        <v>26000</v>
      </c>
    </row>
    <row r="109" spans="1:5" x14ac:dyDescent="0.35">
      <c r="A109" t="s">
        <v>24</v>
      </c>
      <c r="B109" t="s">
        <v>45</v>
      </c>
      <c r="C109" t="s">
        <v>10</v>
      </c>
      <c r="D109" s="1">
        <v>45778</v>
      </c>
      <c r="E109">
        <v>38000</v>
      </c>
    </row>
    <row r="110" spans="1:5" x14ac:dyDescent="0.35">
      <c r="A110" t="s">
        <v>60</v>
      </c>
      <c r="B110" t="s">
        <v>61</v>
      </c>
      <c r="C110" t="s">
        <v>21</v>
      </c>
      <c r="D110" s="1">
        <v>45870</v>
      </c>
      <c r="E110">
        <v>18000</v>
      </c>
    </row>
    <row r="111" spans="1:5" x14ac:dyDescent="0.35">
      <c r="A111" t="s">
        <v>43</v>
      </c>
      <c r="B111" t="s">
        <v>44</v>
      </c>
      <c r="C111" t="s">
        <v>21</v>
      </c>
      <c r="D111" s="1">
        <v>45962</v>
      </c>
      <c r="E111">
        <v>27000</v>
      </c>
    </row>
    <row r="112" spans="1:5" x14ac:dyDescent="0.35">
      <c r="A112" t="s">
        <v>84</v>
      </c>
      <c r="B112" t="s">
        <v>85</v>
      </c>
      <c r="C112" t="s">
        <v>28</v>
      </c>
      <c r="D112" s="1">
        <v>45962</v>
      </c>
      <c r="E112">
        <v>44000</v>
      </c>
    </row>
    <row r="113" spans="1:5" x14ac:dyDescent="0.35">
      <c r="A113" t="s">
        <v>57</v>
      </c>
      <c r="B113" t="s">
        <v>58</v>
      </c>
      <c r="C113" t="s">
        <v>21</v>
      </c>
      <c r="D113" s="1">
        <v>45839</v>
      </c>
      <c r="E113">
        <v>20000</v>
      </c>
    </row>
    <row r="114" spans="1:5" x14ac:dyDescent="0.35">
      <c r="A114" t="s">
        <v>43</v>
      </c>
      <c r="B114" t="s">
        <v>44</v>
      </c>
      <c r="C114" t="s">
        <v>28</v>
      </c>
      <c r="D114" s="1">
        <v>45717</v>
      </c>
      <c r="E114" s="2" t="s">
        <v>86</v>
      </c>
    </row>
    <row r="115" spans="1:5" x14ac:dyDescent="0.35">
      <c r="A115" t="s">
        <v>39</v>
      </c>
      <c r="B115" t="s">
        <v>40</v>
      </c>
      <c r="C115" t="s">
        <v>10</v>
      </c>
      <c r="D115" s="1">
        <v>45839</v>
      </c>
      <c r="E115">
        <v>31000</v>
      </c>
    </row>
    <row r="116" spans="1:5" x14ac:dyDescent="0.35">
      <c r="A116" t="s">
        <v>72</v>
      </c>
      <c r="B116" t="s">
        <v>73</v>
      </c>
      <c r="C116" t="s">
        <v>7</v>
      </c>
      <c r="D116" s="1">
        <v>45901</v>
      </c>
      <c r="E116">
        <v>33000</v>
      </c>
    </row>
    <row r="117" spans="1:5" x14ac:dyDescent="0.35">
      <c r="A117" t="s">
        <v>66</v>
      </c>
      <c r="B117" t="s">
        <v>67</v>
      </c>
      <c r="C117" t="s">
        <v>21</v>
      </c>
      <c r="D117" s="1">
        <v>45992</v>
      </c>
      <c r="E117">
        <v>25000</v>
      </c>
    </row>
    <row r="118" spans="1:5" x14ac:dyDescent="0.35">
      <c r="A118" t="s">
        <v>53</v>
      </c>
      <c r="B118" t="s">
        <v>54</v>
      </c>
      <c r="C118" t="s">
        <v>28</v>
      </c>
      <c r="D118" s="1">
        <v>45717</v>
      </c>
      <c r="E118">
        <v>63000</v>
      </c>
    </row>
    <row r="119" spans="1:5" x14ac:dyDescent="0.35">
      <c r="A119" t="s">
        <v>5</v>
      </c>
      <c r="B119" t="s">
        <v>6</v>
      </c>
      <c r="C119" t="s">
        <v>21</v>
      </c>
      <c r="D119" s="1">
        <v>45992</v>
      </c>
      <c r="E119">
        <v>19000</v>
      </c>
    </row>
    <row r="120" spans="1:5" x14ac:dyDescent="0.35">
      <c r="A120" t="s">
        <v>87</v>
      </c>
      <c r="B120" t="s">
        <v>88</v>
      </c>
      <c r="C120" t="s">
        <v>28</v>
      </c>
      <c r="D120" s="1">
        <v>45658</v>
      </c>
      <c r="E120">
        <v>73000</v>
      </c>
    </row>
    <row r="121" spans="1:5" x14ac:dyDescent="0.35">
      <c r="A121" t="s">
        <v>17</v>
      </c>
      <c r="B121" t="s">
        <v>18</v>
      </c>
      <c r="C121" t="s">
        <v>28</v>
      </c>
      <c r="D121" s="1">
        <v>45901</v>
      </c>
      <c r="E121">
        <v>90000</v>
      </c>
    </row>
    <row r="122" spans="1:5" x14ac:dyDescent="0.35">
      <c r="A122" t="s">
        <v>72</v>
      </c>
      <c r="B122" t="s">
        <v>73</v>
      </c>
      <c r="C122" t="s">
        <v>10</v>
      </c>
      <c r="D122" s="1">
        <v>45809</v>
      </c>
      <c r="E122">
        <v>27000</v>
      </c>
    </row>
    <row r="123" spans="1:5" x14ac:dyDescent="0.35">
      <c r="A123" t="s">
        <v>48</v>
      </c>
      <c r="B123" t="s">
        <v>49</v>
      </c>
      <c r="C123" t="s">
        <v>13</v>
      </c>
      <c r="D123" s="1">
        <v>45992</v>
      </c>
      <c r="E123">
        <v>11000</v>
      </c>
    </row>
    <row r="124" spans="1:5" x14ac:dyDescent="0.35">
      <c r="A124" t="s">
        <v>41</v>
      </c>
      <c r="B124" t="s">
        <v>42</v>
      </c>
      <c r="C124" t="s">
        <v>21</v>
      </c>
      <c r="D124" s="1">
        <v>45658</v>
      </c>
      <c r="E124">
        <v>22000</v>
      </c>
    </row>
    <row r="125" spans="1:5" x14ac:dyDescent="0.35">
      <c r="A125" t="s">
        <v>17</v>
      </c>
      <c r="B125" t="s">
        <v>18</v>
      </c>
      <c r="C125" t="s">
        <v>21</v>
      </c>
      <c r="D125" s="1">
        <v>45870</v>
      </c>
      <c r="E125">
        <v>10000</v>
      </c>
    </row>
    <row r="126" spans="1:5" x14ac:dyDescent="0.35">
      <c r="A126" t="s">
        <v>35</v>
      </c>
      <c r="B126" t="s">
        <v>81</v>
      </c>
      <c r="C126" t="s">
        <v>10</v>
      </c>
      <c r="D126" s="1">
        <v>45901</v>
      </c>
      <c r="E126">
        <v>13000</v>
      </c>
    </row>
    <row r="127" spans="1:5" x14ac:dyDescent="0.35">
      <c r="A127" t="s">
        <v>22</v>
      </c>
      <c r="B127" t="s">
        <v>23</v>
      </c>
      <c r="C127" t="s">
        <v>10</v>
      </c>
      <c r="D127" s="1">
        <v>45839</v>
      </c>
      <c r="E127">
        <v>15000</v>
      </c>
    </row>
    <row r="128" spans="1:5" x14ac:dyDescent="0.35">
      <c r="A128" t="s">
        <v>89</v>
      </c>
      <c r="B128" t="s">
        <v>90</v>
      </c>
      <c r="C128" t="s">
        <v>16</v>
      </c>
      <c r="D128" s="1">
        <v>45992</v>
      </c>
      <c r="E128">
        <v>71000</v>
      </c>
    </row>
    <row r="129" spans="1:5" x14ac:dyDescent="0.35">
      <c r="A129" t="s">
        <v>17</v>
      </c>
      <c r="B129" t="s">
        <v>18</v>
      </c>
      <c r="C129" t="s">
        <v>21</v>
      </c>
      <c r="D129" s="1">
        <v>45901</v>
      </c>
      <c r="E129">
        <v>10000</v>
      </c>
    </row>
    <row r="130" spans="1:5" x14ac:dyDescent="0.35">
      <c r="A130" t="s">
        <v>87</v>
      </c>
      <c r="B130" t="s">
        <v>88</v>
      </c>
      <c r="C130" t="s">
        <v>28</v>
      </c>
      <c r="D130" s="1">
        <v>45689</v>
      </c>
      <c r="E130">
        <v>73000</v>
      </c>
    </row>
    <row r="131" spans="1:5" x14ac:dyDescent="0.35">
      <c r="A131" t="s">
        <v>74</v>
      </c>
      <c r="B131" t="s">
        <v>75</v>
      </c>
      <c r="C131" t="s">
        <v>16</v>
      </c>
      <c r="D131" s="1">
        <v>45901</v>
      </c>
      <c r="E131">
        <v>155000</v>
      </c>
    </row>
    <row r="132" spans="1:5" x14ac:dyDescent="0.35">
      <c r="A132" t="s">
        <v>35</v>
      </c>
      <c r="B132" t="s">
        <v>36</v>
      </c>
      <c r="C132" t="s">
        <v>16</v>
      </c>
      <c r="D132" s="1">
        <v>45992</v>
      </c>
      <c r="E132">
        <v>33000</v>
      </c>
    </row>
    <row r="133" spans="1:5" x14ac:dyDescent="0.35">
      <c r="A133" t="s">
        <v>72</v>
      </c>
      <c r="B133" t="s">
        <v>73</v>
      </c>
      <c r="C133" t="s">
        <v>16</v>
      </c>
      <c r="D133" s="1">
        <v>45778</v>
      </c>
      <c r="E133">
        <v>117000</v>
      </c>
    </row>
    <row r="134" spans="1:5" x14ac:dyDescent="0.35">
      <c r="A134" t="s">
        <v>11</v>
      </c>
      <c r="B134" t="s">
        <v>59</v>
      </c>
      <c r="C134" t="s">
        <v>21</v>
      </c>
      <c r="D134" s="1">
        <v>45717</v>
      </c>
      <c r="E134">
        <v>24000</v>
      </c>
    </row>
    <row r="135" spans="1:5" x14ac:dyDescent="0.35">
      <c r="A135" t="s">
        <v>43</v>
      </c>
      <c r="B135" t="s">
        <v>44</v>
      </c>
      <c r="C135" t="s">
        <v>16</v>
      </c>
      <c r="D135" s="1">
        <v>45778</v>
      </c>
      <c r="E135">
        <v>70000</v>
      </c>
    </row>
    <row r="136" spans="1:5" x14ac:dyDescent="0.35">
      <c r="A136" t="s">
        <v>19</v>
      </c>
      <c r="B136" t="s">
        <v>20</v>
      </c>
      <c r="C136" t="s">
        <v>65</v>
      </c>
      <c r="D136" s="1">
        <v>45689</v>
      </c>
      <c r="E136">
        <v>30000</v>
      </c>
    </row>
    <row r="137" spans="1:5" x14ac:dyDescent="0.35">
      <c r="A137" t="s">
        <v>60</v>
      </c>
      <c r="B137" t="s">
        <v>61</v>
      </c>
      <c r="C137" t="s">
        <v>16</v>
      </c>
      <c r="D137" s="1">
        <v>45627</v>
      </c>
      <c r="E137">
        <v>35000</v>
      </c>
    </row>
    <row r="138" spans="1:5" x14ac:dyDescent="0.35">
      <c r="A138" t="s">
        <v>43</v>
      </c>
      <c r="B138" t="s">
        <v>44</v>
      </c>
      <c r="C138" t="s">
        <v>21</v>
      </c>
      <c r="D138" s="1">
        <v>45717</v>
      </c>
      <c r="E138">
        <v>27000</v>
      </c>
    </row>
    <row r="139" spans="1:5" x14ac:dyDescent="0.35">
      <c r="A139" t="s">
        <v>72</v>
      </c>
      <c r="B139" t="s">
        <v>73</v>
      </c>
      <c r="C139" t="s">
        <v>16</v>
      </c>
      <c r="D139" s="1">
        <v>45748</v>
      </c>
      <c r="E139">
        <v>117000</v>
      </c>
    </row>
    <row r="140" spans="1:5" x14ac:dyDescent="0.35">
      <c r="A140" t="s">
        <v>57</v>
      </c>
      <c r="B140" t="s">
        <v>58</v>
      </c>
      <c r="C140" t="s">
        <v>28</v>
      </c>
      <c r="D140" s="1">
        <v>45870</v>
      </c>
      <c r="E140">
        <v>52000</v>
      </c>
    </row>
    <row r="141" spans="1:5" x14ac:dyDescent="0.35">
      <c r="A141" t="s">
        <v>91</v>
      </c>
      <c r="B141" t="s">
        <v>92</v>
      </c>
      <c r="C141" t="s">
        <v>28</v>
      </c>
      <c r="D141" s="1">
        <v>45839</v>
      </c>
      <c r="E141">
        <v>105000</v>
      </c>
    </row>
    <row r="142" spans="1:5" x14ac:dyDescent="0.35">
      <c r="A142" t="s">
        <v>70</v>
      </c>
      <c r="B142" t="s">
        <v>71</v>
      </c>
      <c r="C142" t="s">
        <v>21</v>
      </c>
      <c r="D142" s="1">
        <v>45962</v>
      </c>
      <c r="E142">
        <v>9000</v>
      </c>
    </row>
    <row r="143" spans="1:5" x14ac:dyDescent="0.35">
      <c r="A143" t="s">
        <v>37</v>
      </c>
      <c r="B143" t="s">
        <v>38</v>
      </c>
      <c r="C143" t="s">
        <v>28</v>
      </c>
      <c r="D143" s="1">
        <v>45809</v>
      </c>
      <c r="E143">
        <v>88000</v>
      </c>
    </row>
    <row r="144" spans="1:5" x14ac:dyDescent="0.35">
      <c r="A144" t="s">
        <v>17</v>
      </c>
      <c r="B144" t="s">
        <v>18</v>
      </c>
      <c r="C144" t="s">
        <v>28</v>
      </c>
      <c r="D144" s="1">
        <v>45748</v>
      </c>
      <c r="E144">
        <v>90000</v>
      </c>
    </row>
    <row r="145" spans="1:5" x14ac:dyDescent="0.35">
      <c r="A145" t="s">
        <v>72</v>
      </c>
      <c r="B145" t="s">
        <v>73</v>
      </c>
      <c r="C145" t="s">
        <v>21</v>
      </c>
      <c r="D145" s="1">
        <v>45901</v>
      </c>
      <c r="E145">
        <v>16000</v>
      </c>
    </row>
    <row r="146" spans="1:5" x14ac:dyDescent="0.35">
      <c r="A146" t="s">
        <v>53</v>
      </c>
      <c r="B146" t="s">
        <v>54</v>
      </c>
      <c r="C146" t="s">
        <v>16</v>
      </c>
      <c r="D146" s="1">
        <v>45658</v>
      </c>
      <c r="E146">
        <v>63000</v>
      </c>
    </row>
    <row r="147" spans="1:5" x14ac:dyDescent="0.35">
      <c r="A147" t="s">
        <v>33</v>
      </c>
      <c r="B147" t="s">
        <v>34</v>
      </c>
      <c r="C147" t="s">
        <v>10</v>
      </c>
      <c r="D147" s="1">
        <v>45901</v>
      </c>
      <c r="E147">
        <v>17000</v>
      </c>
    </row>
    <row r="148" spans="1:5" x14ac:dyDescent="0.35">
      <c r="A148" t="s">
        <v>33</v>
      </c>
      <c r="B148" t="s">
        <v>34</v>
      </c>
      <c r="C148" t="s">
        <v>10</v>
      </c>
      <c r="D148" s="1">
        <v>45962</v>
      </c>
      <c r="E148">
        <v>17000</v>
      </c>
    </row>
    <row r="149" spans="1:5" x14ac:dyDescent="0.35">
      <c r="A149" t="s">
        <v>8</v>
      </c>
      <c r="B149" t="s">
        <v>9</v>
      </c>
      <c r="C149" t="s">
        <v>10</v>
      </c>
      <c r="D149" s="1">
        <v>45809</v>
      </c>
      <c r="E149">
        <v>35000</v>
      </c>
    </row>
    <row r="150" spans="1:5" x14ac:dyDescent="0.35">
      <c r="A150" t="s">
        <v>57</v>
      </c>
      <c r="B150" t="s">
        <v>58</v>
      </c>
      <c r="C150" t="s">
        <v>21</v>
      </c>
      <c r="D150" s="1">
        <v>45809</v>
      </c>
      <c r="E150">
        <v>20000</v>
      </c>
    </row>
    <row r="151" spans="1:5" x14ac:dyDescent="0.35">
      <c r="A151" t="s">
        <v>24</v>
      </c>
      <c r="B151" t="s">
        <v>45</v>
      </c>
      <c r="C151" t="s">
        <v>21</v>
      </c>
      <c r="D151" s="1">
        <v>45839</v>
      </c>
      <c r="E151" t="s">
        <v>93</v>
      </c>
    </row>
    <row r="152" spans="1:5" x14ac:dyDescent="0.35">
      <c r="A152" t="s">
        <v>91</v>
      </c>
      <c r="B152" t="s">
        <v>92</v>
      </c>
      <c r="C152" t="s">
        <v>28</v>
      </c>
      <c r="D152" s="1">
        <v>45809</v>
      </c>
      <c r="E152">
        <v>105000</v>
      </c>
    </row>
    <row r="153" spans="1:5" x14ac:dyDescent="0.35">
      <c r="A153" t="s">
        <v>66</v>
      </c>
      <c r="B153" t="s">
        <v>67</v>
      </c>
      <c r="C153" t="s">
        <v>28</v>
      </c>
      <c r="D153" s="1">
        <v>45962</v>
      </c>
      <c r="E153">
        <v>95000</v>
      </c>
    </row>
    <row r="154" spans="1:5" x14ac:dyDescent="0.35">
      <c r="A154" t="s">
        <v>17</v>
      </c>
      <c r="B154" t="s">
        <v>18</v>
      </c>
      <c r="C154" t="s">
        <v>50</v>
      </c>
      <c r="D154" s="1">
        <v>45992</v>
      </c>
      <c r="E154">
        <v>12000</v>
      </c>
    </row>
    <row r="155" spans="1:5" x14ac:dyDescent="0.35">
      <c r="A155" t="s">
        <v>89</v>
      </c>
      <c r="B155" t="s">
        <v>94</v>
      </c>
      <c r="C155" t="s">
        <v>13</v>
      </c>
      <c r="D155" s="1">
        <v>45931</v>
      </c>
      <c r="E155">
        <v>19000</v>
      </c>
    </row>
    <row r="156" spans="1:5" x14ac:dyDescent="0.35">
      <c r="A156" t="s">
        <v>60</v>
      </c>
      <c r="B156" t="s">
        <v>61</v>
      </c>
      <c r="C156" t="s">
        <v>65</v>
      </c>
      <c r="D156" s="1">
        <v>45870</v>
      </c>
      <c r="E156">
        <v>23000</v>
      </c>
    </row>
    <row r="157" spans="1:5" x14ac:dyDescent="0.35">
      <c r="A157" t="s">
        <v>11</v>
      </c>
      <c r="B157" t="s">
        <v>59</v>
      </c>
      <c r="C157" t="s">
        <v>28</v>
      </c>
      <c r="D157" s="1">
        <v>45809</v>
      </c>
      <c r="E157" t="s">
        <v>95</v>
      </c>
    </row>
    <row r="158" spans="1:5" x14ac:dyDescent="0.35">
      <c r="A158" t="s">
        <v>19</v>
      </c>
      <c r="B158" t="s">
        <v>20</v>
      </c>
      <c r="C158" t="s">
        <v>21</v>
      </c>
      <c r="D158" s="1">
        <v>45962</v>
      </c>
      <c r="E158">
        <v>10000</v>
      </c>
    </row>
    <row r="159" spans="1:5" x14ac:dyDescent="0.35">
      <c r="A159" t="s">
        <v>14</v>
      </c>
      <c r="B159" t="s">
        <v>15</v>
      </c>
      <c r="C159" t="s">
        <v>28</v>
      </c>
      <c r="D159" s="1">
        <v>45809</v>
      </c>
      <c r="E159">
        <v>79000</v>
      </c>
    </row>
    <row r="160" spans="1:5" x14ac:dyDescent="0.35">
      <c r="A160" t="s">
        <v>39</v>
      </c>
      <c r="B160" t="s">
        <v>40</v>
      </c>
      <c r="C160" t="s">
        <v>16</v>
      </c>
      <c r="D160" s="1">
        <v>45992</v>
      </c>
      <c r="E160">
        <v>60000</v>
      </c>
    </row>
    <row r="161" spans="1:5" x14ac:dyDescent="0.35">
      <c r="A161" t="s">
        <v>29</v>
      </c>
      <c r="B161" t="s">
        <v>46</v>
      </c>
      <c r="C161" t="s">
        <v>28</v>
      </c>
      <c r="D161" s="1">
        <v>45901</v>
      </c>
      <c r="E161">
        <v>60000</v>
      </c>
    </row>
    <row r="162" spans="1:5" x14ac:dyDescent="0.35">
      <c r="A162" t="s">
        <v>53</v>
      </c>
      <c r="B162" t="s">
        <v>54</v>
      </c>
      <c r="C162" t="s">
        <v>10</v>
      </c>
      <c r="D162" s="1">
        <v>45901</v>
      </c>
      <c r="E162">
        <v>35000</v>
      </c>
    </row>
    <row r="163" spans="1:5" x14ac:dyDescent="0.35">
      <c r="A163" t="s">
        <v>48</v>
      </c>
      <c r="B163" t="s">
        <v>49</v>
      </c>
      <c r="C163" t="s">
        <v>28</v>
      </c>
      <c r="D163" s="1">
        <v>45627</v>
      </c>
      <c r="E163">
        <v>100000</v>
      </c>
    </row>
    <row r="164" spans="1:5" x14ac:dyDescent="0.35">
      <c r="A164" t="s">
        <v>29</v>
      </c>
      <c r="B164" t="s">
        <v>46</v>
      </c>
      <c r="C164" t="s">
        <v>16</v>
      </c>
      <c r="D164" s="1">
        <v>45962</v>
      </c>
      <c r="E164">
        <v>72000</v>
      </c>
    </row>
    <row r="165" spans="1:5" x14ac:dyDescent="0.35">
      <c r="A165" t="s">
        <v>29</v>
      </c>
      <c r="B165" t="s">
        <v>46</v>
      </c>
      <c r="C165" t="s">
        <v>16</v>
      </c>
      <c r="D165" s="1">
        <v>45778</v>
      </c>
      <c r="E165">
        <v>60000</v>
      </c>
    </row>
    <row r="166" spans="1:5" x14ac:dyDescent="0.35">
      <c r="A166" t="s">
        <v>26</v>
      </c>
      <c r="B166" t="s">
        <v>27</v>
      </c>
      <c r="C166" t="s">
        <v>28</v>
      </c>
      <c r="D166" s="1">
        <v>45627</v>
      </c>
      <c r="E166">
        <v>47000</v>
      </c>
    </row>
    <row r="167" spans="1:5" x14ac:dyDescent="0.35">
      <c r="A167" t="s">
        <v>43</v>
      </c>
      <c r="B167" t="s">
        <v>96</v>
      </c>
      <c r="C167" t="s">
        <v>65</v>
      </c>
      <c r="D167" s="1">
        <v>45992</v>
      </c>
      <c r="E167">
        <v>22000</v>
      </c>
    </row>
    <row r="168" spans="1:5" x14ac:dyDescent="0.35">
      <c r="A168" t="s">
        <v>70</v>
      </c>
      <c r="B168" t="s">
        <v>71</v>
      </c>
      <c r="C168" t="s">
        <v>50</v>
      </c>
      <c r="D168" s="1">
        <v>45839</v>
      </c>
      <c r="E168">
        <v>9000</v>
      </c>
    </row>
    <row r="169" spans="1:5" x14ac:dyDescent="0.35">
      <c r="A169" t="s">
        <v>29</v>
      </c>
      <c r="B169" t="s">
        <v>46</v>
      </c>
      <c r="C169" t="s">
        <v>65</v>
      </c>
      <c r="D169" s="1">
        <v>45778</v>
      </c>
      <c r="E169">
        <v>36000</v>
      </c>
    </row>
    <row r="170" spans="1:5" x14ac:dyDescent="0.35">
      <c r="A170" t="s">
        <v>33</v>
      </c>
      <c r="B170" t="s">
        <v>34</v>
      </c>
      <c r="C170" t="s">
        <v>50</v>
      </c>
      <c r="D170" s="1">
        <v>45962</v>
      </c>
      <c r="E170">
        <v>11000</v>
      </c>
    </row>
    <row r="171" spans="1:5" x14ac:dyDescent="0.35">
      <c r="A171" t="s">
        <v>22</v>
      </c>
      <c r="B171" t="s">
        <v>23</v>
      </c>
      <c r="C171" t="s">
        <v>7</v>
      </c>
      <c r="D171" s="1">
        <v>45901</v>
      </c>
      <c r="E171">
        <v>15000</v>
      </c>
    </row>
    <row r="172" spans="1:5" x14ac:dyDescent="0.35">
      <c r="A172" t="s">
        <v>41</v>
      </c>
      <c r="B172" t="s">
        <v>42</v>
      </c>
      <c r="C172" t="s">
        <v>28</v>
      </c>
      <c r="D172" s="1">
        <v>45689</v>
      </c>
      <c r="E172">
        <v>102000</v>
      </c>
    </row>
    <row r="173" spans="1:5" x14ac:dyDescent="0.35">
      <c r="A173" t="s">
        <v>35</v>
      </c>
      <c r="B173" t="s">
        <v>36</v>
      </c>
      <c r="C173" t="s">
        <v>16</v>
      </c>
      <c r="D173" s="1">
        <v>45931</v>
      </c>
      <c r="E173">
        <v>33000</v>
      </c>
    </row>
    <row r="174" spans="1:5" x14ac:dyDescent="0.35">
      <c r="A174" t="s">
        <v>29</v>
      </c>
      <c r="B174" t="s">
        <v>46</v>
      </c>
      <c r="C174" t="s">
        <v>65</v>
      </c>
      <c r="D174" s="1">
        <v>45658</v>
      </c>
      <c r="E174">
        <v>36000</v>
      </c>
    </row>
    <row r="175" spans="1:5" x14ac:dyDescent="0.35">
      <c r="A175" t="s">
        <v>11</v>
      </c>
      <c r="B175" t="s">
        <v>59</v>
      </c>
      <c r="C175" t="s">
        <v>21</v>
      </c>
      <c r="D175" s="1">
        <v>45658</v>
      </c>
      <c r="E175">
        <v>24000</v>
      </c>
    </row>
    <row r="176" spans="1:5" x14ac:dyDescent="0.35">
      <c r="A176" t="s">
        <v>24</v>
      </c>
      <c r="B176" t="s">
        <v>45</v>
      </c>
      <c r="C176" t="s">
        <v>21</v>
      </c>
      <c r="D176" s="1">
        <v>45809</v>
      </c>
      <c r="E176">
        <v>22000</v>
      </c>
    </row>
    <row r="177" spans="1:5" x14ac:dyDescent="0.35">
      <c r="A177" t="s">
        <v>41</v>
      </c>
      <c r="B177" t="s">
        <v>42</v>
      </c>
      <c r="C177" t="s">
        <v>65</v>
      </c>
      <c r="D177" s="1">
        <v>45778</v>
      </c>
      <c r="E177">
        <v>17000</v>
      </c>
    </row>
    <row r="178" spans="1:5" x14ac:dyDescent="0.35">
      <c r="A178" t="s">
        <v>8</v>
      </c>
      <c r="B178" t="s">
        <v>9</v>
      </c>
      <c r="C178" t="s">
        <v>10</v>
      </c>
      <c r="D178" s="1">
        <v>45839</v>
      </c>
      <c r="E178">
        <v>35000</v>
      </c>
    </row>
    <row r="179" spans="1:5" x14ac:dyDescent="0.35">
      <c r="A179" t="s">
        <v>60</v>
      </c>
      <c r="B179" t="s">
        <v>61</v>
      </c>
      <c r="C179" t="s">
        <v>65</v>
      </c>
      <c r="D179" s="1">
        <v>45901</v>
      </c>
      <c r="E179">
        <v>23000</v>
      </c>
    </row>
    <row r="180" spans="1:5" x14ac:dyDescent="0.35">
      <c r="A180" t="s">
        <v>70</v>
      </c>
      <c r="B180" t="s">
        <v>71</v>
      </c>
      <c r="C180" t="s">
        <v>16</v>
      </c>
      <c r="D180" s="1">
        <v>45778</v>
      </c>
      <c r="E180">
        <v>85000</v>
      </c>
    </row>
    <row r="181" spans="1:5" x14ac:dyDescent="0.35">
      <c r="A181" t="s">
        <v>57</v>
      </c>
      <c r="B181" t="s">
        <v>58</v>
      </c>
      <c r="C181" t="s">
        <v>10</v>
      </c>
      <c r="D181" s="1">
        <v>45962</v>
      </c>
      <c r="E181">
        <v>18000</v>
      </c>
    </row>
    <row r="182" spans="1:5" x14ac:dyDescent="0.35">
      <c r="A182" t="s">
        <v>11</v>
      </c>
      <c r="B182" t="s">
        <v>59</v>
      </c>
      <c r="C182" t="s">
        <v>7</v>
      </c>
      <c r="D182" s="1">
        <v>45839</v>
      </c>
      <c r="E182">
        <v>39000</v>
      </c>
    </row>
    <row r="183" spans="1:5" x14ac:dyDescent="0.35">
      <c r="A183" t="s">
        <v>43</v>
      </c>
      <c r="B183" t="s">
        <v>44</v>
      </c>
      <c r="C183" t="s">
        <v>13</v>
      </c>
      <c r="D183" s="1">
        <v>45839</v>
      </c>
      <c r="E183">
        <v>27000</v>
      </c>
    </row>
    <row r="184" spans="1:5" x14ac:dyDescent="0.35">
      <c r="A184" t="s">
        <v>29</v>
      </c>
      <c r="B184" t="s">
        <v>46</v>
      </c>
      <c r="C184" t="s">
        <v>28</v>
      </c>
      <c r="D184" s="1">
        <v>45870</v>
      </c>
      <c r="E184">
        <v>60000</v>
      </c>
    </row>
    <row r="185" spans="1:5" x14ac:dyDescent="0.35">
      <c r="A185" t="s">
        <v>37</v>
      </c>
      <c r="B185" t="s">
        <v>97</v>
      </c>
      <c r="C185" t="s">
        <v>28</v>
      </c>
      <c r="D185" s="1">
        <v>45870</v>
      </c>
      <c r="E185">
        <v>88000</v>
      </c>
    </row>
    <row r="186" spans="1:5" x14ac:dyDescent="0.35">
      <c r="A186" t="s">
        <v>70</v>
      </c>
      <c r="B186" t="s">
        <v>71</v>
      </c>
      <c r="C186" t="s">
        <v>28</v>
      </c>
      <c r="D186" s="1">
        <v>45962</v>
      </c>
      <c r="E186">
        <v>85000</v>
      </c>
    </row>
    <row r="187" spans="1:5" x14ac:dyDescent="0.35">
      <c r="A187" t="s">
        <v>41</v>
      </c>
      <c r="B187" t="s">
        <v>42</v>
      </c>
      <c r="C187" t="s">
        <v>28</v>
      </c>
      <c r="D187" s="1">
        <v>45931</v>
      </c>
      <c r="E187">
        <v>102000</v>
      </c>
    </row>
    <row r="188" spans="1:5" x14ac:dyDescent="0.35">
      <c r="A188" t="s">
        <v>91</v>
      </c>
      <c r="B188" t="s">
        <v>92</v>
      </c>
      <c r="C188" t="s">
        <v>16</v>
      </c>
      <c r="D188" s="1">
        <v>45931</v>
      </c>
      <c r="E188">
        <v>116000</v>
      </c>
    </row>
    <row r="189" spans="1:5" x14ac:dyDescent="0.35">
      <c r="A189" t="s">
        <v>87</v>
      </c>
      <c r="B189" t="s">
        <v>88</v>
      </c>
      <c r="C189" t="s">
        <v>16</v>
      </c>
      <c r="D189" s="1">
        <v>45901</v>
      </c>
      <c r="E189">
        <v>73000</v>
      </c>
    </row>
    <row r="190" spans="1:5" x14ac:dyDescent="0.35">
      <c r="A190" t="s">
        <v>43</v>
      </c>
      <c r="B190" t="s">
        <v>44</v>
      </c>
      <c r="C190" t="s">
        <v>21</v>
      </c>
      <c r="D190" s="1">
        <v>45689</v>
      </c>
      <c r="E190">
        <v>27000</v>
      </c>
    </row>
    <row r="191" spans="1:5" x14ac:dyDescent="0.35">
      <c r="A191" t="s">
        <v>60</v>
      </c>
      <c r="B191" t="s">
        <v>61</v>
      </c>
      <c r="C191" t="s">
        <v>16</v>
      </c>
      <c r="D191" s="1">
        <v>45717</v>
      </c>
      <c r="E191">
        <v>35000</v>
      </c>
    </row>
    <row r="192" spans="1:5" x14ac:dyDescent="0.35">
      <c r="A192" t="s">
        <v>91</v>
      </c>
      <c r="B192" t="s">
        <v>92</v>
      </c>
      <c r="C192" t="s">
        <v>16</v>
      </c>
      <c r="D192" s="1">
        <v>45901</v>
      </c>
      <c r="E192">
        <v>116000</v>
      </c>
    </row>
    <row r="193" spans="1:5" x14ac:dyDescent="0.35">
      <c r="A193" t="s">
        <v>8</v>
      </c>
      <c r="B193" t="s">
        <v>9</v>
      </c>
      <c r="C193" t="s">
        <v>21</v>
      </c>
      <c r="D193" s="1">
        <v>45809</v>
      </c>
      <c r="E193">
        <v>17000</v>
      </c>
    </row>
    <row r="194" spans="1:5" x14ac:dyDescent="0.35">
      <c r="A194" t="s">
        <v>43</v>
      </c>
      <c r="B194" t="s">
        <v>44</v>
      </c>
      <c r="C194" t="s">
        <v>7</v>
      </c>
      <c r="D194" s="1">
        <v>45658</v>
      </c>
      <c r="E194">
        <v>18000</v>
      </c>
    </row>
    <row r="195" spans="1:5" x14ac:dyDescent="0.35">
      <c r="A195" t="s">
        <v>5</v>
      </c>
      <c r="B195" t="s">
        <v>6</v>
      </c>
      <c r="C195" t="s">
        <v>28</v>
      </c>
      <c r="D195" s="1">
        <v>45992</v>
      </c>
      <c r="E195">
        <v>97000</v>
      </c>
    </row>
    <row r="196" spans="1:5" x14ac:dyDescent="0.35">
      <c r="A196" t="s">
        <v>70</v>
      </c>
      <c r="B196" t="s">
        <v>71</v>
      </c>
      <c r="C196" t="s">
        <v>7</v>
      </c>
      <c r="D196" s="1">
        <v>45901</v>
      </c>
      <c r="E196">
        <v>27000</v>
      </c>
    </row>
    <row r="197" spans="1:5" x14ac:dyDescent="0.35">
      <c r="A197" t="s">
        <v>5</v>
      </c>
      <c r="B197" t="s">
        <v>6</v>
      </c>
      <c r="C197" t="s">
        <v>16</v>
      </c>
      <c r="D197" s="1">
        <v>45658</v>
      </c>
      <c r="E197">
        <v>85000</v>
      </c>
    </row>
    <row r="198" spans="1:5" x14ac:dyDescent="0.35">
      <c r="A198" t="s">
        <v>43</v>
      </c>
      <c r="B198" t="s">
        <v>44</v>
      </c>
      <c r="C198" t="s">
        <v>50</v>
      </c>
      <c r="D198" s="1">
        <v>45870</v>
      </c>
      <c r="E198">
        <v>27000</v>
      </c>
    </row>
    <row r="199" spans="1:5" x14ac:dyDescent="0.35">
      <c r="A199" t="s">
        <v>24</v>
      </c>
      <c r="B199" t="s">
        <v>45</v>
      </c>
      <c r="C199" t="s">
        <v>16</v>
      </c>
      <c r="D199" s="1">
        <v>45778</v>
      </c>
      <c r="E199">
        <v>100000</v>
      </c>
    </row>
    <row r="200" spans="1:5" x14ac:dyDescent="0.35">
      <c r="A200" t="s">
        <v>39</v>
      </c>
      <c r="B200" t="s">
        <v>40</v>
      </c>
      <c r="C200" t="s">
        <v>21</v>
      </c>
      <c r="D200" s="1">
        <v>45839</v>
      </c>
      <c r="E200">
        <v>19000</v>
      </c>
    </row>
    <row r="201" spans="1:5" x14ac:dyDescent="0.35">
      <c r="A201" t="s">
        <v>5</v>
      </c>
      <c r="B201" t="s">
        <v>6</v>
      </c>
      <c r="C201" t="s">
        <v>21</v>
      </c>
      <c r="D201" s="1">
        <v>45717</v>
      </c>
      <c r="E201">
        <v>19000</v>
      </c>
    </row>
    <row r="202" spans="1:5" x14ac:dyDescent="0.35">
      <c r="A202" t="s">
        <v>11</v>
      </c>
      <c r="B202" t="s">
        <v>59</v>
      </c>
      <c r="C202" t="s">
        <v>28</v>
      </c>
      <c r="D202" s="1">
        <v>45778</v>
      </c>
      <c r="E202">
        <v>118000</v>
      </c>
    </row>
    <row r="203" spans="1:5" x14ac:dyDescent="0.35">
      <c r="A203" t="s">
        <v>8</v>
      </c>
      <c r="B203" t="s">
        <v>9</v>
      </c>
      <c r="C203" t="s">
        <v>28</v>
      </c>
      <c r="D203" s="1">
        <v>45992</v>
      </c>
      <c r="E203">
        <v>70000</v>
      </c>
    </row>
    <row r="204" spans="1:5" x14ac:dyDescent="0.35">
      <c r="A204" t="s">
        <v>26</v>
      </c>
      <c r="B204" t="s">
        <v>27</v>
      </c>
      <c r="C204" t="s">
        <v>21</v>
      </c>
      <c r="D204" s="1">
        <v>45992</v>
      </c>
      <c r="E204">
        <v>10000</v>
      </c>
    </row>
    <row r="205" spans="1:5" x14ac:dyDescent="0.35">
      <c r="A205" t="s">
        <v>17</v>
      </c>
      <c r="B205" t="s">
        <v>18</v>
      </c>
      <c r="C205" t="s">
        <v>50</v>
      </c>
      <c r="D205" s="1">
        <v>45658</v>
      </c>
      <c r="E205">
        <v>8000</v>
      </c>
    </row>
    <row r="206" spans="1:5" x14ac:dyDescent="0.35">
      <c r="A206" t="s">
        <v>17</v>
      </c>
      <c r="B206" t="s">
        <v>18</v>
      </c>
      <c r="C206" t="s">
        <v>28</v>
      </c>
      <c r="D206" s="1">
        <v>45717</v>
      </c>
      <c r="E206">
        <v>90000</v>
      </c>
    </row>
    <row r="207" spans="1:5" x14ac:dyDescent="0.35">
      <c r="A207" t="s">
        <v>53</v>
      </c>
      <c r="B207" t="s">
        <v>54</v>
      </c>
      <c r="C207" t="s">
        <v>28</v>
      </c>
      <c r="D207" s="1">
        <v>45901</v>
      </c>
      <c r="E207">
        <v>73000</v>
      </c>
    </row>
    <row r="208" spans="1:5" x14ac:dyDescent="0.35">
      <c r="A208" t="s">
        <v>48</v>
      </c>
      <c r="B208" t="s">
        <v>49</v>
      </c>
      <c r="C208" t="s">
        <v>7</v>
      </c>
      <c r="D208" s="1">
        <v>45748</v>
      </c>
      <c r="E208">
        <v>26000</v>
      </c>
    </row>
    <row r="209" spans="1:5" x14ac:dyDescent="0.35">
      <c r="A209" t="s">
        <v>5</v>
      </c>
      <c r="B209" t="s">
        <v>6</v>
      </c>
      <c r="C209" t="s">
        <v>10</v>
      </c>
      <c r="D209" s="1">
        <v>45778</v>
      </c>
      <c r="E209">
        <v>24000</v>
      </c>
    </row>
    <row r="210" spans="1:5" x14ac:dyDescent="0.35">
      <c r="A210" t="s">
        <v>60</v>
      </c>
      <c r="B210" t="s">
        <v>61</v>
      </c>
      <c r="C210" t="s">
        <v>21</v>
      </c>
      <c r="D210" s="1">
        <v>45962</v>
      </c>
      <c r="E210">
        <v>18000</v>
      </c>
    </row>
    <row r="211" spans="1:5" x14ac:dyDescent="0.35">
      <c r="A211" t="s">
        <v>43</v>
      </c>
      <c r="B211" t="s">
        <v>44</v>
      </c>
      <c r="C211" t="s">
        <v>13</v>
      </c>
      <c r="D211" s="1">
        <v>45658</v>
      </c>
      <c r="E211">
        <v>27000</v>
      </c>
    </row>
    <row r="212" spans="1:5" x14ac:dyDescent="0.35">
      <c r="A212" t="s">
        <v>62</v>
      </c>
      <c r="B212" t="s">
        <v>63</v>
      </c>
      <c r="C212" t="s">
        <v>28</v>
      </c>
      <c r="D212" s="1">
        <v>45809</v>
      </c>
      <c r="E212">
        <v>46000</v>
      </c>
    </row>
    <row r="213" spans="1:5" x14ac:dyDescent="0.35">
      <c r="A213" t="s">
        <v>60</v>
      </c>
      <c r="B213" t="s">
        <v>61</v>
      </c>
      <c r="C213" t="s">
        <v>16</v>
      </c>
      <c r="D213" s="1">
        <v>45931</v>
      </c>
      <c r="E213">
        <v>35000</v>
      </c>
    </row>
    <row r="214" spans="1:5" x14ac:dyDescent="0.35">
      <c r="A214" t="s">
        <v>43</v>
      </c>
      <c r="B214" t="s">
        <v>44</v>
      </c>
      <c r="C214" t="s">
        <v>65</v>
      </c>
      <c r="D214" s="1">
        <v>45717</v>
      </c>
      <c r="E214">
        <v>18000</v>
      </c>
    </row>
    <row r="215" spans="1:5" x14ac:dyDescent="0.35">
      <c r="A215" t="s">
        <v>26</v>
      </c>
      <c r="B215" t="s">
        <v>27</v>
      </c>
      <c r="C215" t="s">
        <v>21</v>
      </c>
      <c r="D215" s="1">
        <v>45931</v>
      </c>
      <c r="E215">
        <v>10000</v>
      </c>
    </row>
    <row r="216" spans="1:5" x14ac:dyDescent="0.35">
      <c r="A216" t="s">
        <v>72</v>
      </c>
      <c r="B216" t="s">
        <v>73</v>
      </c>
      <c r="C216" t="s">
        <v>21</v>
      </c>
      <c r="D216" s="1">
        <v>45992</v>
      </c>
      <c r="E216">
        <v>16000</v>
      </c>
    </row>
    <row r="217" spans="1:5" x14ac:dyDescent="0.35">
      <c r="A217" t="s">
        <v>43</v>
      </c>
      <c r="B217" t="s">
        <v>44</v>
      </c>
      <c r="C217" t="s">
        <v>21</v>
      </c>
      <c r="D217" s="1">
        <v>45748</v>
      </c>
      <c r="E217">
        <v>27000</v>
      </c>
    </row>
    <row r="218" spans="1:5" x14ac:dyDescent="0.35">
      <c r="A218" t="s">
        <v>84</v>
      </c>
      <c r="B218" t="s">
        <v>85</v>
      </c>
      <c r="C218" t="s">
        <v>16</v>
      </c>
      <c r="D218" s="1">
        <v>45870</v>
      </c>
      <c r="E218" t="s">
        <v>98</v>
      </c>
    </row>
    <row r="219" spans="1:5" x14ac:dyDescent="0.35">
      <c r="A219" t="s">
        <v>72</v>
      </c>
      <c r="B219" t="s">
        <v>73</v>
      </c>
      <c r="C219" t="s">
        <v>28</v>
      </c>
      <c r="D219" s="1">
        <v>45717</v>
      </c>
      <c r="E219">
        <v>117000</v>
      </c>
    </row>
    <row r="220" spans="1:5" x14ac:dyDescent="0.35">
      <c r="A220" t="s">
        <v>29</v>
      </c>
      <c r="B220" t="s">
        <v>46</v>
      </c>
      <c r="C220" t="s">
        <v>10</v>
      </c>
      <c r="D220" s="1">
        <v>45689</v>
      </c>
      <c r="E220">
        <v>36000</v>
      </c>
    </row>
    <row r="221" spans="1:5" x14ac:dyDescent="0.35">
      <c r="A221" t="s">
        <v>37</v>
      </c>
      <c r="B221" t="s">
        <v>38</v>
      </c>
      <c r="C221" t="s">
        <v>16</v>
      </c>
      <c r="D221" s="1">
        <v>45962</v>
      </c>
      <c r="E221">
        <v>88000</v>
      </c>
    </row>
    <row r="222" spans="1:5" x14ac:dyDescent="0.35">
      <c r="A222" t="s">
        <v>48</v>
      </c>
      <c r="B222" t="s">
        <v>49</v>
      </c>
      <c r="C222" t="s">
        <v>50</v>
      </c>
      <c r="D222" s="1">
        <v>45870</v>
      </c>
      <c r="E222">
        <v>11000</v>
      </c>
    </row>
    <row r="223" spans="1:5" x14ac:dyDescent="0.35">
      <c r="A223" t="s">
        <v>8</v>
      </c>
      <c r="B223" t="s">
        <v>9</v>
      </c>
      <c r="C223" t="s">
        <v>10</v>
      </c>
      <c r="D223" s="1">
        <v>45901</v>
      </c>
      <c r="E223">
        <v>35000</v>
      </c>
    </row>
    <row r="224" spans="1:5" x14ac:dyDescent="0.35">
      <c r="A224" t="s">
        <v>39</v>
      </c>
      <c r="B224" t="s">
        <v>40</v>
      </c>
      <c r="C224" t="s">
        <v>10</v>
      </c>
      <c r="D224" s="1">
        <v>45748</v>
      </c>
      <c r="E224">
        <v>26000</v>
      </c>
    </row>
    <row r="225" spans="1:5" x14ac:dyDescent="0.35">
      <c r="A225" t="s">
        <v>14</v>
      </c>
      <c r="B225" t="s">
        <v>15</v>
      </c>
      <c r="C225" t="s">
        <v>16</v>
      </c>
      <c r="D225" s="1">
        <v>45931</v>
      </c>
      <c r="E225">
        <v>79000</v>
      </c>
    </row>
    <row r="226" spans="1:5" x14ac:dyDescent="0.35">
      <c r="A226" t="s">
        <v>70</v>
      </c>
      <c r="B226" t="s">
        <v>71</v>
      </c>
      <c r="C226" t="s">
        <v>28</v>
      </c>
      <c r="D226" s="1">
        <v>45627</v>
      </c>
      <c r="E226">
        <v>76000</v>
      </c>
    </row>
    <row r="227" spans="1:5" x14ac:dyDescent="0.35">
      <c r="A227" t="s">
        <v>19</v>
      </c>
      <c r="B227" t="s">
        <v>20</v>
      </c>
      <c r="C227" t="s">
        <v>21</v>
      </c>
      <c r="D227" s="1">
        <v>45658</v>
      </c>
      <c r="E227">
        <v>10000</v>
      </c>
    </row>
    <row r="228" spans="1:5" x14ac:dyDescent="0.35">
      <c r="A228" t="s">
        <v>22</v>
      </c>
      <c r="B228" t="s">
        <v>23</v>
      </c>
      <c r="C228" t="s">
        <v>7</v>
      </c>
      <c r="D228" s="1">
        <v>45778</v>
      </c>
      <c r="E228">
        <v>15000</v>
      </c>
    </row>
    <row r="229" spans="1:5" x14ac:dyDescent="0.35">
      <c r="A229" t="s">
        <v>48</v>
      </c>
      <c r="B229" t="s">
        <v>49</v>
      </c>
      <c r="C229" t="s">
        <v>16</v>
      </c>
      <c r="D229" s="1">
        <v>45689</v>
      </c>
      <c r="E229">
        <v>100000</v>
      </c>
    </row>
    <row r="230" spans="1:5" x14ac:dyDescent="0.35">
      <c r="A230" t="s">
        <v>57</v>
      </c>
      <c r="B230" t="s">
        <v>58</v>
      </c>
      <c r="C230" t="s">
        <v>7</v>
      </c>
      <c r="D230" s="1">
        <v>45992</v>
      </c>
      <c r="E230">
        <v>18000</v>
      </c>
    </row>
    <row r="231" spans="1:5" x14ac:dyDescent="0.35">
      <c r="A231" t="s">
        <v>70</v>
      </c>
      <c r="B231" t="s">
        <v>71</v>
      </c>
      <c r="C231" t="s">
        <v>21</v>
      </c>
      <c r="D231" s="1">
        <v>45778</v>
      </c>
      <c r="E231">
        <v>9000</v>
      </c>
    </row>
    <row r="232" spans="1:5" x14ac:dyDescent="0.35">
      <c r="A232" t="s">
        <v>37</v>
      </c>
      <c r="B232" t="s">
        <v>38</v>
      </c>
      <c r="C232" t="s">
        <v>10</v>
      </c>
      <c r="D232" s="1">
        <v>45962</v>
      </c>
      <c r="E232">
        <v>19000</v>
      </c>
    </row>
    <row r="233" spans="1:5" x14ac:dyDescent="0.35">
      <c r="A233" t="s">
        <v>60</v>
      </c>
      <c r="B233" t="s">
        <v>61</v>
      </c>
      <c r="C233" t="s">
        <v>10</v>
      </c>
      <c r="D233" s="1">
        <v>45839</v>
      </c>
      <c r="E233">
        <v>23000</v>
      </c>
    </row>
    <row r="234" spans="1:5" x14ac:dyDescent="0.35">
      <c r="A234" t="s">
        <v>41</v>
      </c>
      <c r="B234" t="s">
        <v>42</v>
      </c>
      <c r="C234" t="s">
        <v>10</v>
      </c>
      <c r="D234" s="1">
        <v>45748</v>
      </c>
      <c r="E234">
        <v>17000</v>
      </c>
    </row>
    <row r="235" spans="1:5" x14ac:dyDescent="0.35">
      <c r="A235" t="s">
        <v>31</v>
      </c>
      <c r="B235" t="s">
        <v>32</v>
      </c>
      <c r="C235" t="s">
        <v>16</v>
      </c>
      <c r="D235" s="1">
        <v>45658</v>
      </c>
      <c r="E235">
        <v>77000</v>
      </c>
    </row>
    <row r="236" spans="1:5" x14ac:dyDescent="0.35">
      <c r="A236" t="s">
        <v>43</v>
      </c>
      <c r="B236" t="s">
        <v>44</v>
      </c>
      <c r="C236" t="s">
        <v>16</v>
      </c>
      <c r="D236" s="1">
        <v>45627</v>
      </c>
      <c r="E236">
        <v>70000</v>
      </c>
    </row>
    <row r="237" spans="1:5" x14ac:dyDescent="0.35">
      <c r="A237" t="s">
        <v>17</v>
      </c>
      <c r="B237" t="s">
        <v>18</v>
      </c>
      <c r="C237" t="s">
        <v>16</v>
      </c>
      <c r="D237" s="1">
        <v>45778</v>
      </c>
      <c r="E237">
        <v>90000</v>
      </c>
    </row>
    <row r="238" spans="1:5" x14ac:dyDescent="0.35">
      <c r="A238" t="s">
        <v>22</v>
      </c>
      <c r="B238" t="s">
        <v>23</v>
      </c>
      <c r="C238" t="s">
        <v>16</v>
      </c>
      <c r="D238" s="1">
        <v>45901</v>
      </c>
      <c r="E238">
        <v>132000</v>
      </c>
    </row>
    <row r="239" spans="1:5" x14ac:dyDescent="0.35">
      <c r="A239" t="s">
        <v>48</v>
      </c>
      <c r="B239" t="s">
        <v>49</v>
      </c>
      <c r="C239" t="s">
        <v>16</v>
      </c>
      <c r="D239" s="1">
        <v>45717</v>
      </c>
      <c r="E239">
        <v>112000</v>
      </c>
    </row>
    <row r="240" spans="1:5" x14ac:dyDescent="0.35">
      <c r="A240" t="s">
        <v>11</v>
      </c>
      <c r="B240" t="s">
        <v>59</v>
      </c>
      <c r="C240" t="s">
        <v>10</v>
      </c>
      <c r="D240" s="1">
        <v>45658</v>
      </c>
      <c r="E240">
        <v>39000</v>
      </c>
    </row>
    <row r="241" spans="1:5" x14ac:dyDescent="0.35">
      <c r="A241" t="s">
        <v>5</v>
      </c>
      <c r="B241" t="s">
        <v>6</v>
      </c>
      <c r="C241" t="s">
        <v>7</v>
      </c>
      <c r="D241" s="1">
        <v>45992</v>
      </c>
      <c r="E241">
        <v>24000</v>
      </c>
    </row>
    <row r="242" spans="1:5" x14ac:dyDescent="0.35">
      <c r="A242" t="s">
        <v>24</v>
      </c>
      <c r="B242" t="s">
        <v>45</v>
      </c>
      <c r="C242" t="s">
        <v>28</v>
      </c>
      <c r="D242" s="1">
        <v>45717</v>
      </c>
      <c r="E242">
        <v>100000</v>
      </c>
    </row>
    <row r="243" spans="1:5" x14ac:dyDescent="0.35">
      <c r="A243" t="s">
        <v>66</v>
      </c>
      <c r="B243" t="s">
        <v>67</v>
      </c>
      <c r="C243" t="s">
        <v>50</v>
      </c>
      <c r="D243" s="1">
        <v>45839</v>
      </c>
      <c r="E243">
        <v>19000</v>
      </c>
    </row>
    <row r="244" spans="1:5" x14ac:dyDescent="0.35">
      <c r="A244" t="s">
        <v>91</v>
      </c>
      <c r="B244" t="s">
        <v>92</v>
      </c>
      <c r="C244" t="s">
        <v>21</v>
      </c>
      <c r="D244" s="1">
        <v>45901</v>
      </c>
      <c r="E244">
        <v>19000</v>
      </c>
    </row>
    <row r="245" spans="1:5" x14ac:dyDescent="0.35">
      <c r="A245" t="s">
        <v>39</v>
      </c>
      <c r="B245" t="s">
        <v>40</v>
      </c>
      <c r="C245" t="s">
        <v>28</v>
      </c>
      <c r="D245" s="1">
        <v>45809</v>
      </c>
      <c r="E245">
        <v>60000</v>
      </c>
    </row>
    <row r="246" spans="1:5" x14ac:dyDescent="0.35">
      <c r="A246" t="s">
        <v>8</v>
      </c>
      <c r="B246" t="s">
        <v>9</v>
      </c>
      <c r="C246" t="s">
        <v>10</v>
      </c>
      <c r="D246" s="1">
        <v>45870</v>
      </c>
      <c r="E246">
        <v>35000</v>
      </c>
    </row>
    <row r="247" spans="1:5" x14ac:dyDescent="0.35">
      <c r="A247" t="s">
        <v>70</v>
      </c>
      <c r="B247" t="s">
        <v>71</v>
      </c>
      <c r="C247" t="s">
        <v>28</v>
      </c>
      <c r="D247" s="1">
        <v>45839</v>
      </c>
      <c r="E247">
        <v>85000</v>
      </c>
    </row>
    <row r="248" spans="1:5" x14ac:dyDescent="0.35">
      <c r="A248" t="s">
        <v>57</v>
      </c>
      <c r="B248" t="s">
        <v>58</v>
      </c>
      <c r="C248" t="s">
        <v>13</v>
      </c>
      <c r="D248" s="1">
        <v>45962</v>
      </c>
      <c r="E248">
        <v>20000</v>
      </c>
    </row>
    <row r="249" spans="1:5" x14ac:dyDescent="0.35">
      <c r="A249" t="s">
        <v>29</v>
      </c>
      <c r="B249" t="s">
        <v>30</v>
      </c>
      <c r="C249" t="s">
        <v>10</v>
      </c>
      <c r="D249" s="1">
        <v>45992</v>
      </c>
      <c r="E249">
        <v>36000</v>
      </c>
    </row>
    <row r="250" spans="1:5" x14ac:dyDescent="0.35">
      <c r="A250" t="s">
        <v>89</v>
      </c>
      <c r="B250" t="s">
        <v>90</v>
      </c>
      <c r="C250" t="s">
        <v>10</v>
      </c>
      <c r="D250" s="1">
        <v>45992</v>
      </c>
      <c r="E250">
        <v>18000</v>
      </c>
    </row>
    <row r="251" spans="1:5" x14ac:dyDescent="0.35">
      <c r="A251" t="s">
        <v>11</v>
      </c>
      <c r="B251" t="s">
        <v>59</v>
      </c>
      <c r="C251" t="s">
        <v>28</v>
      </c>
      <c r="D251" s="1">
        <v>45962</v>
      </c>
      <c r="E251">
        <v>118000</v>
      </c>
    </row>
    <row r="252" spans="1:5" x14ac:dyDescent="0.35">
      <c r="A252" t="s">
        <v>41</v>
      </c>
      <c r="B252" t="s">
        <v>42</v>
      </c>
      <c r="C252" t="s">
        <v>10</v>
      </c>
      <c r="D252" s="1">
        <v>45962</v>
      </c>
      <c r="E252">
        <v>17000</v>
      </c>
    </row>
    <row r="253" spans="1:5" x14ac:dyDescent="0.35">
      <c r="A253" t="s">
        <v>24</v>
      </c>
      <c r="B253" t="s">
        <v>45</v>
      </c>
      <c r="C253" t="s">
        <v>28</v>
      </c>
      <c r="D253" s="1">
        <v>45627</v>
      </c>
      <c r="E253">
        <v>100000</v>
      </c>
    </row>
    <row r="254" spans="1:5" x14ac:dyDescent="0.35">
      <c r="A254" t="s">
        <v>37</v>
      </c>
      <c r="B254" t="s">
        <v>38</v>
      </c>
      <c r="C254" t="s">
        <v>65</v>
      </c>
      <c r="D254" s="1">
        <v>45901</v>
      </c>
      <c r="E254">
        <v>19000</v>
      </c>
    </row>
    <row r="255" spans="1:5" x14ac:dyDescent="0.35">
      <c r="A255" t="s">
        <v>60</v>
      </c>
      <c r="B255" t="s">
        <v>61</v>
      </c>
      <c r="C255" t="s">
        <v>10</v>
      </c>
      <c r="D255" s="1">
        <v>45627</v>
      </c>
      <c r="E255">
        <v>23000</v>
      </c>
    </row>
    <row r="256" spans="1:5" x14ac:dyDescent="0.35">
      <c r="A256" t="s">
        <v>72</v>
      </c>
      <c r="B256" t="s">
        <v>73</v>
      </c>
      <c r="C256" t="s">
        <v>16</v>
      </c>
      <c r="D256" s="1">
        <v>45809</v>
      </c>
      <c r="E256">
        <v>117000</v>
      </c>
    </row>
    <row r="257" spans="1:5" x14ac:dyDescent="0.35">
      <c r="A257" t="s">
        <v>14</v>
      </c>
      <c r="B257" t="s">
        <v>15</v>
      </c>
      <c r="C257" t="s">
        <v>28</v>
      </c>
      <c r="D257" s="1">
        <v>45992</v>
      </c>
      <c r="E257">
        <v>62000</v>
      </c>
    </row>
    <row r="258" spans="1:5" x14ac:dyDescent="0.35">
      <c r="A258" t="s">
        <v>41</v>
      </c>
      <c r="B258" t="s">
        <v>42</v>
      </c>
      <c r="C258" t="s">
        <v>21</v>
      </c>
      <c r="D258" s="1">
        <v>45689</v>
      </c>
      <c r="E258">
        <v>22000</v>
      </c>
    </row>
    <row r="259" spans="1:5" x14ac:dyDescent="0.35">
      <c r="A259" t="s">
        <v>87</v>
      </c>
      <c r="B259" t="s">
        <v>99</v>
      </c>
      <c r="C259" t="s">
        <v>28</v>
      </c>
      <c r="D259" s="1">
        <v>45839</v>
      </c>
      <c r="E259">
        <v>73000</v>
      </c>
    </row>
    <row r="260" spans="1:5" x14ac:dyDescent="0.35">
      <c r="A260" t="s">
        <v>41</v>
      </c>
      <c r="B260" t="s">
        <v>42</v>
      </c>
      <c r="C260" t="s">
        <v>7</v>
      </c>
      <c r="D260" s="1">
        <v>45689</v>
      </c>
      <c r="E260">
        <v>17000</v>
      </c>
    </row>
    <row r="261" spans="1:5" x14ac:dyDescent="0.35">
      <c r="A261" t="s">
        <v>74</v>
      </c>
      <c r="B261" t="s">
        <v>75</v>
      </c>
      <c r="C261" t="s">
        <v>28</v>
      </c>
      <c r="D261" s="1">
        <v>45962</v>
      </c>
      <c r="E261">
        <v>155000</v>
      </c>
    </row>
    <row r="262" spans="1:5" x14ac:dyDescent="0.35">
      <c r="A262" t="s">
        <v>84</v>
      </c>
      <c r="B262" t="s">
        <v>85</v>
      </c>
      <c r="C262" t="s">
        <v>28</v>
      </c>
      <c r="D262" s="1">
        <v>45992</v>
      </c>
      <c r="E262">
        <v>44000</v>
      </c>
    </row>
    <row r="263" spans="1:5" x14ac:dyDescent="0.35">
      <c r="A263" t="s">
        <v>29</v>
      </c>
      <c r="B263" t="s">
        <v>46</v>
      </c>
      <c r="C263" t="s">
        <v>16</v>
      </c>
      <c r="D263" s="1">
        <v>45627</v>
      </c>
      <c r="E263">
        <v>60000</v>
      </c>
    </row>
    <row r="264" spans="1:5" x14ac:dyDescent="0.35">
      <c r="A264" t="s">
        <v>72</v>
      </c>
      <c r="B264" t="s">
        <v>73</v>
      </c>
      <c r="C264" t="s">
        <v>13</v>
      </c>
      <c r="D264" s="1">
        <v>45931</v>
      </c>
      <c r="E264">
        <v>16000</v>
      </c>
    </row>
    <row r="265" spans="1:5" x14ac:dyDescent="0.35">
      <c r="A265" t="s">
        <v>87</v>
      </c>
      <c r="B265" t="s">
        <v>88</v>
      </c>
      <c r="C265" t="s">
        <v>16</v>
      </c>
      <c r="D265" s="1">
        <v>45748</v>
      </c>
      <c r="E265">
        <v>73000</v>
      </c>
    </row>
    <row r="266" spans="1:5" x14ac:dyDescent="0.35">
      <c r="A266" t="s">
        <v>17</v>
      </c>
      <c r="B266" t="s">
        <v>18</v>
      </c>
      <c r="C266" t="s">
        <v>10</v>
      </c>
      <c r="D266" s="1">
        <v>45839</v>
      </c>
      <c r="E266">
        <v>36000</v>
      </c>
    </row>
    <row r="267" spans="1:5" x14ac:dyDescent="0.35">
      <c r="A267" t="s">
        <v>70</v>
      </c>
      <c r="B267" t="s">
        <v>71</v>
      </c>
      <c r="C267" t="s">
        <v>10</v>
      </c>
      <c r="D267" s="1">
        <v>45992</v>
      </c>
      <c r="E267">
        <v>27000</v>
      </c>
    </row>
    <row r="268" spans="1:5" x14ac:dyDescent="0.35">
      <c r="A268" t="s">
        <v>24</v>
      </c>
      <c r="B268" t="s">
        <v>45</v>
      </c>
      <c r="C268" t="s">
        <v>65</v>
      </c>
      <c r="D268" s="1">
        <v>45992</v>
      </c>
      <c r="E268">
        <v>38000</v>
      </c>
    </row>
    <row r="269" spans="1:5" x14ac:dyDescent="0.35">
      <c r="A269" t="s">
        <v>26</v>
      </c>
      <c r="B269" t="s">
        <v>27</v>
      </c>
      <c r="C269" t="s">
        <v>28</v>
      </c>
      <c r="D269" s="1">
        <v>45809</v>
      </c>
      <c r="E269">
        <v>72000</v>
      </c>
    </row>
    <row r="270" spans="1:5" x14ac:dyDescent="0.35">
      <c r="A270" t="s">
        <v>53</v>
      </c>
      <c r="B270" t="s">
        <v>54</v>
      </c>
      <c r="C270" t="s">
        <v>16</v>
      </c>
      <c r="D270" s="1">
        <v>45992</v>
      </c>
      <c r="E270">
        <v>73000</v>
      </c>
    </row>
    <row r="271" spans="1:5" x14ac:dyDescent="0.35">
      <c r="A271" t="s">
        <v>57</v>
      </c>
      <c r="B271" t="s">
        <v>58</v>
      </c>
      <c r="C271" t="s">
        <v>13</v>
      </c>
      <c r="D271" s="1">
        <v>45992</v>
      </c>
      <c r="E271">
        <v>20000</v>
      </c>
    </row>
    <row r="272" spans="1:5" x14ac:dyDescent="0.35">
      <c r="A272" t="s">
        <v>66</v>
      </c>
      <c r="B272" t="s">
        <v>67</v>
      </c>
      <c r="C272" t="s">
        <v>7</v>
      </c>
      <c r="D272" s="1">
        <v>45931</v>
      </c>
      <c r="E272">
        <v>19000</v>
      </c>
    </row>
    <row r="273" spans="1:5" x14ac:dyDescent="0.35">
      <c r="A273" t="s">
        <v>48</v>
      </c>
      <c r="B273" t="s">
        <v>49</v>
      </c>
      <c r="C273" t="s">
        <v>65</v>
      </c>
      <c r="D273" s="1">
        <v>45627</v>
      </c>
      <c r="E273">
        <v>26000</v>
      </c>
    </row>
    <row r="274" spans="1:5" x14ac:dyDescent="0.35">
      <c r="A274" t="s">
        <v>8</v>
      </c>
      <c r="B274" t="s">
        <v>9</v>
      </c>
      <c r="C274" t="s">
        <v>13</v>
      </c>
      <c r="D274" s="1">
        <v>45870</v>
      </c>
      <c r="E274">
        <v>17000</v>
      </c>
    </row>
    <row r="275" spans="1:5" x14ac:dyDescent="0.35">
      <c r="A275" t="s">
        <v>87</v>
      </c>
      <c r="B275" t="s">
        <v>88</v>
      </c>
      <c r="C275" t="s">
        <v>28</v>
      </c>
      <c r="D275" s="1">
        <v>45717</v>
      </c>
      <c r="E275">
        <v>73000</v>
      </c>
    </row>
    <row r="276" spans="1:5" x14ac:dyDescent="0.35">
      <c r="A276" t="s">
        <v>14</v>
      </c>
      <c r="B276" t="s">
        <v>15</v>
      </c>
      <c r="C276" t="s">
        <v>16</v>
      </c>
      <c r="D276" s="1">
        <v>45962</v>
      </c>
      <c r="E276">
        <v>62000</v>
      </c>
    </row>
    <row r="277" spans="1:5" x14ac:dyDescent="0.35">
      <c r="A277" t="s">
        <v>78</v>
      </c>
      <c r="B277" t="s">
        <v>79</v>
      </c>
      <c r="C277" t="s">
        <v>10</v>
      </c>
      <c r="D277" s="1">
        <v>45992</v>
      </c>
      <c r="E277">
        <v>17000</v>
      </c>
    </row>
    <row r="278" spans="1:5" x14ac:dyDescent="0.35">
      <c r="A278" t="s">
        <v>100</v>
      </c>
      <c r="B278" t="s">
        <v>101</v>
      </c>
      <c r="C278" t="s">
        <v>28</v>
      </c>
      <c r="D278" s="1">
        <v>45992</v>
      </c>
      <c r="E278">
        <v>88000</v>
      </c>
    </row>
    <row r="279" spans="1:5" x14ac:dyDescent="0.35">
      <c r="A279" t="s">
        <v>68</v>
      </c>
      <c r="B279" t="s">
        <v>69</v>
      </c>
      <c r="C279" t="s">
        <v>28</v>
      </c>
      <c r="D279" s="1">
        <v>45839</v>
      </c>
      <c r="E279">
        <v>35000</v>
      </c>
    </row>
    <row r="280" spans="1:5" x14ac:dyDescent="0.35">
      <c r="A280" t="s">
        <v>84</v>
      </c>
      <c r="B280" t="s">
        <v>85</v>
      </c>
      <c r="C280" t="s">
        <v>28</v>
      </c>
      <c r="D280" s="1">
        <v>45931</v>
      </c>
      <c r="E280">
        <v>44000</v>
      </c>
    </row>
    <row r="281" spans="1:5" x14ac:dyDescent="0.35">
      <c r="A281" t="s">
        <v>33</v>
      </c>
      <c r="B281" t="s">
        <v>34</v>
      </c>
      <c r="C281" t="s">
        <v>16</v>
      </c>
      <c r="D281" s="1">
        <v>45778</v>
      </c>
      <c r="E281">
        <v>66000</v>
      </c>
    </row>
    <row r="282" spans="1:5" x14ac:dyDescent="0.35">
      <c r="A282" t="s">
        <v>51</v>
      </c>
      <c r="B282" t="s">
        <v>52</v>
      </c>
      <c r="C282" t="s">
        <v>10</v>
      </c>
      <c r="D282" s="1">
        <v>45689</v>
      </c>
      <c r="E282">
        <v>27000</v>
      </c>
    </row>
    <row r="283" spans="1:5" x14ac:dyDescent="0.35">
      <c r="A283" t="s">
        <v>78</v>
      </c>
      <c r="B283" t="s">
        <v>79</v>
      </c>
      <c r="C283" t="s">
        <v>16</v>
      </c>
      <c r="D283" s="1">
        <v>45931</v>
      </c>
      <c r="E283">
        <v>49000</v>
      </c>
    </row>
    <row r="284" spans="1:5" x14ac:dyDescent="0.35">
      <c r="A284" t="s">
        <v>57</v>
      </c>
      <c r="B284" t="s">
        <v>58</v>
      </c>
      <c r="C284" t="s">
        <v>28</v>
      </c>
      <c r="D284" s="1">
        <v>45839</v>
      </c>
      <c r="E284">
        <v>52000</v>
      </c>
    </row>
    <row r="285" spans="1:5" x14ac:dyDescent="0.35">
      <c r="A285" t="s">
        <v>70</v>
      </c>
      <c r="B285" t="s">
        <v>71</v>
      </c>
      <c r="C285" t="s">
        <v>16</v>
      </c>
      <c r="D285" s="1">
        <v>45658</v>
      </c>
      <c r="E285">
        <v>85000</v>
      </c>
    </row>
    <row r="286" spans="1:5" x14ac:dyDescent="0.35">
      <c r="A286" t="s">
        <v>29</v>
      </c>
      <c r="B286" t="s">
        <v>46</v>
      </c>
      <c r="C286" t="s">
        <v>65</v>
      </c>
      <c r="D286" s="1">
        <v>45870</v>
      </c>
      <c r="E286">
        <v>36000</v>
      </c>
    </row>
    <row r="287" spans="1:5" x14ac:dyDescent="0.35">
      <c r="A287" t="s">
        <v>62</v>
      </c>
      <c r="B287" t="s">
        <v>63</v>
      </c>
      <c r="C287" t="s">
        <v>28</v>
      </c>
      <c r="D287" s="1">
        <v>45627</v>
      </c>
      <c r="E287">
        <v>62000</v>
      </c>
    </row>
    <row r="288" spans="1:5" x14ac:dyDescent="0.35">
      <c r="A288" t="s">
        <v>89</v>
      </c>
      <c r="B288" t="s">
        <v>94</v>
      </c>
      <c r="C288" t="s">
        <v>28</v>
      </c>
      <c r="D288" s="1">
        <v>45931</v>
      </c>
      <c r="E288">
        <v>71000</v>
      </c>
    </row>
    <row r="289" spans="1:5" x14ac:dyDescent="0.35">
      <c r="A289" t="s">
        <v>39</v>
      </c>
      <c r="B289" t="s">
        <v>40</v>
      </c>
      <c r="C289" t="s">
        <v>16</v>
      </c>
      <c r="D289" s="1">
        <v>45627</v>
      </c>
      <c r="E289">
        <v>60000</v>
      </c>
    </row>
    <row r="290" spans="1:5" x14ac:dyDescent="0.35">
      <c r="A290" t="s">
        <v>60</v>
      </c>
      <c r="B290" t="s">
        <v>61</v>
      </c>
      <c r="C290" t="s">
        <v>50</v>
      </c>
      <c r="D290" s="1">
        <v>45839</v>
      </c>
      <c r="E290">
        <v>18000</v>
      </c>
    </row>
    <row r="291" spans="1:5" x14ac:dyDescent="0.35">
      <c r="A291" t="s">
        <v>57</v>
      </c>
      <c r="B291" t="s">
        <v>58</v>
      </c>
      <c r="C291" t="s">
        <v>28</v>
      </c>
      <c r="D291" s="1">
        <v>45901</v>
      </c>
      <c r="E291">
        <v>52000</v>
      </c>
    </row>
    <row r="292" spans="1:5" x14ac:dyDescent="0.35">
      <c r="A292" t="s">
        <v>5</v>
      </c>
      <c r="B292" t="s">
        <v>6</v>
      </c>
      <c r="C292" t="s">
        <v>10</v>
      </c>
      <c r="D292" s="1">
        <v>45809</v>
      </c>
      <c r="E292">
        <v>24000</v>
      </c>
    </row>
    <row r="293" spans="1:5" x14ac:dyDescent="0.35">
      <c r="A293" t="s">
        <v>72</v>
      </c>
      <c r="B293" t="s">
        <v>73</v>
      </c>
      <c r="C293" t="s">
        <v>10</v>
      </c>
      <c r="D293" s="1">
        <v>45870</v>
      </c>
      <c r="E293">
        <v>33000</v>
      </c>
    </row>
    <row r="294" spans="1:5" x14ac:dyDescent="0.35">
      <c r="A294" t="s">
        <v>26</v>
      </c>
      <c r="B294" t="s">
        <v>27</v>
      </c>
      <c r="C294" t="s">
        <v>10</v>
      </c>
      <c r="D294" s="1">
        <v>45992</v>
      </c>
      <c r="E294">
        <v>25000</v>
      </c>
    </row>
    <row r="295" spans="1:5" x14ac:dyDescent="0.35">
      <c r="A295" t="s">
        <v>78</v>
      </c>
      <c r="B295" t="s">
        <v>79</v>
      </c>
      <c r="C295" t="s">
        <v>21</v>
      </c>
      <c r="D295" s="1">
        <v>45992</v>
      </c>
      <c r="E295">
        <v>28000</v>
      </c>
    </row>
    <row r="296" spans="1:5" x14ac:dyDescent="0.35">
      <c r="A296" t="s">
        <v>70</v>
      </c>
      <c r="B296" t="s">
        <v>71</v>
      </c>
      <c r="C296" t="s">
        <v>7</v>
      </c>
      <c r="D296" s="1">
        <v>45962</v>
      </c>
      <c r="E296">
        <v>27000</v>
      </c>
    </row>
    <row r="297" spans="1:5" x14ac:dyDescent="0.35">
      <c r="A297" t="s">
        <v>33</v>
      </c>
      <c r="B297" t="s">
        <v>34</v>
      </c>
      <c r="C297" t="s">
        <v>28</v>
      </c>
      <c r="D297" s="1">
        <v>45839</v>
      </c>
      <c r="E297">
        <v>66000</v>
      </c>
    </row>
    <row r="298" spans="1:5" x14ac:dyDescent="0.35">
      <c r="A298" t="s">
        <v>19</v>
      </c>
      <c r="B298" t="s">
        <v>20</v>
      </c>
      <c r="C298" t="s">
        <v>7</v>
      </c>
      <c r="D298" s="1">
        <v>45992</v>
      </c>
      <c r="E298">
        <v>30000</v>
      </c>
    </row>
    <row r="299" spans="1:5" x14ac:dyDescent="0.35">
      <c r="A299" t="s">
        <v>17</v>
      </c>
      <c r="B299" t="s">
        <v>18</v>
      </c>
      <c r="C299" t="s">
        <v>16</v>
      </c>
      <c r="D299" s="1">
        <v>45689</v>
      </c>
      <c r="E299">
        <v>90000</v>
      </c>
    </row>
    <row r="300" spans="1:5" x14ac:dyDescent="0.35">
      <c r="A300" t="s">
        <v>14</v>
      </c>
      <c r="B300" t="s">
        <v>15</v>
      </c>
      <c r="C300" t="s">
        <v>16</v>
      </c>
      <c r="D300" s="1">
        <v>45748</v>
      </c>
      <c r="E300">
        <v>66000</v>
      </c>
    </row>
    <row r="301" spans="1:5" x14ac:dyDescent="0.35">
      <c r="A301" t="s">
        <v>78</v>
      </c>
      <c r="B301" t="s">
        <v>79</v>
      </c>
      <c r="C301" t="s">
        <v>50</v>
      </c>
      <c r="D301" s="1">
        <v>45962</v>
      </c>
      <c r="E301">
        <v>28000</v>
      </c>
    </row>
    <row r="302" spans="1:5" x14ac:dyDescent="0.35">
      <c r="A302" t="s">
        <v>5</v>
      </c>
      <c r="B302" t="s">
        <v>6</v>
      </c>
      <c r="C302" t="s">
        <v>7</v>
      </c>
      <c r="D302" s="1">
        <v>45931</v>
      </c>
      <c r="E302">
        <v>24000</v>
      </c>
    </row>
    <row r="303" spans="1:5" x14ac:dyDescent="0.35">
      <c r="A303" t="s">
        <v>51</v>
      </c>
      <c r="B303" t="s">
        <v>52</v>
      </c>
      <c r="C303" t="s">
        <v>21</v>
      </c>
      <c r="D303" s="1">
        <v>45627</v>
      </c>
      <c r="E303">
        <v>21000</v>
      </c>
    </row>
    <row r="304" spans="1:5" x14ac:dyDescent="0.35">
      <c r="A304" t="s">
        <v>17</v>
      </c>
      <c r="B304" t="s">
        <v>18</v>
      </c>
      <c r="C304" t="s">
        <v>10</v>
      </c>
      <c r="D304" s="1">
        <v>45870</v>
      </c>
      <c r="E304" t="s">
        <v>47</v>
      </c>
    </row>
    <row r="305" spans="1:5" x14ac:dyDescent="0.35">
      <c r="A305" t="s">
        <v>66</v>
      </c>
      <c r="B305" t="s">
        <v>67</v>
      </c>
      <c r="C305" t="s">
        <v>28</v>
      </c>
      <c r="D305" s="1">
        <v>45931</v>
      </c>
      <c r="E305">
        <v>95000</v>
      </c>
    </row>
    <row r="306" spans="1:5" x14ac:dyDescent="0.35">
      <c r="A306" t="s">
        <v>43</v>
      </c>
      <c r="B306" t="s">
        <v>44</v>
      </c>
      <c r="C306" t="s">
        <v>10</v>
      </c>
      <c r="D306" s="1">
        <v>45748</v>
      </c>
      <c r="E306">
        <v>22000</v>
      </c>
    </row>
    <row r="307" spans="1:5" x14ac:dyDescent="0.35">
      <c r="A307" t="s">
        <v>26</v>
      </c>
      <c r="B307" t="s">
        <v>27</v>
      </c>
      <c r="C307" t="s">
        <v>16</v>
      </c>
      <c r="D307" s="1">
        <v>45717</v>
      </c>
      <c r="E307">
        <v>58000</v>
      </c>
    </row>
    <row r="308" spans="1:5" x14ac:dyDescent="0.35">
      <c r="A308" t="s">
        <v>51</v>
      </c>
      <c r="B308" t="s">
        <v>52</v>
      </c>
      <c r="C308" t="s">
        <v>28</v>
      </c>
      <c r="D308" s="1">
        <v>45658</v>
      </c>
      <c r="E308">
        <v>38000</v>
      </c>
    </row>
    <row r="309" spans="1:5" x14ac:dyDescent="0.35">
      <c r="A309" t="s">
        <v>24</v>
      </c>
      <c r="B309" t="s">
        <v>45</v>
      </c>
      <c r="C309" t="s">
        <v>28</v>
      </c>
      <c r="D309" s="1">
        <v>45809</v>
      </c>
      <c r="E309">
        <v>100000</v>
      </c>
    </row>
    <row r="310" spans="1:5" x14ac:dyDescent="0.35">
      <c r="A310" t="s">
        <v>19</v>
      </c>
      <c r="B310" t="s">
        <v>20</v>
      </c>
      <c r="C310" t="s">
        <v>10</v>
      </c>
      <c r="D310" s="1">
        <v>45839</v>
      </c>
      <c r="E310">
        <v>30000</v>
      </c>
    </row>
    <row r="311" spans="1:5" x14ac:dyDescent="0.35">
      <c r="A311" t="s">
        <v>74</v>
      </c>
      <c r="B311" t="s">
        <v>75</v>
      </c>
      <c r="C311" t="s">
        <v>28</v>
      </c>
      <c r="D311" s="1">
        <v>45870</v>
      </c>
      <c r="E311">
        <v>155000</v>
      </c>
    </row>
    <row r="312" spans="1:5" x14ac:dyDescent="0.35">
      <c r="A312" t="s">
        <v>70</v>
      </c>
      <c r="B312" t="s">
        <v>71</v>
      </c>
      <c r="C312" t="s">
        <v>50</v>
      </c>
      <c r="D312" s="1">
        <v>45748</v>
      </c>
      <c r="E312">
        <v>9000</v>
      </c>
    </row>
    <row r="313" spans="1:5" x14ac:dyDescent="0.35">
      <c r="A313" t="s">
        <v>17</v>
      </c>
      <c r="B313" t="s">
        <v>18</v>
      </c>
      <c r="C313" t="s">
        <v>65</v>
      </c>
      <c r="D313" s="1">
        <v>45809</v>
      </c>
      <c r="E313">
        <v>29000</v>
      </c>
    </row>
    <row r="314" spans="1:5" x14ac:dyDescent="0.35">
      <c r="A314" t="s">
        <v>66</v>
      </c>
      <c r="B314" t="s">
        <v>67</v>
      </c>
      <c r="C314" t="s">
        <v>7</v>
      </c>
      <c r="D314" s="1">
        <v>45962</v>
      </c>
      <c r="E314">
        <v>19000</v>
      </c>
    </row>
    <row r="315" spans="1:5" x14ac:dyDescent="0.35">
      <c r="A315" t="s">
        <v>19</v>
      </c>
      <c r="B315" t="s">
        <v>20</v>
      </c>
      <c r="C315" t="s">
        <v>10</v>
      </c>
      <c r="D315" s="1">
        <v>45778</v>
      </c>
      <c r="E315">
        <v>30000</v>
      </c>
    </row>
    <row r="316" spans="1:5" x14ac:dyDescent="0.35">
      <c r="A316" t="s">
        <v>24</v>
      </c>
      <c r="B316" t="s">
        <v>45</v>
      </c>
      <c r="C316" t="s">
        <v>10</v>
      </c>
      <c r="D316" s="1">
        <v>45931</v>
      </c>
      <c r="E316">
        <v>38000</v>
      </c>
    </row>
    <row r="317" spans="1:5" x14ac:dyDescent="0.35">
      <c r="A317" t="s">
        <v>66</v>
      </c>
      <c r="B317" t="s">
        <v>67</v>
      </c>
      <c r="C317" t="s">
        <v>16</v>
      </c>
      <c r="D317" s="1">
        <v>45839</v>
      </c>
      <c r="E317">
        <v>95000</v>
      </c>
    </row>
    <row r="318" spans="1:5" x14ac:dyDescent="0.35">
      <c r="A318" t="s">
        <v>17</v>
      </c>
      <c r="B318" t="s">
        <v>18</v>
      </c>
      <c r="C318" t="s">
        <v>28</v>
      </c>
      <c r="D318" s="1">
        <v>45992</v>
      </c>
      <c r="E318">
        <v>90000</v>
      </c>
    </row>
    <row r="319" spans="1:5" x14ac:dyDescent="0.35">
      <c r="A319" t="s">
        <v>70</v>
      </c>
      <c r="B319" t="s">
        <v>71</v>
      </c>
      <c r="C319" t="s">
        <v>28</v>
      </c>
      <c r="D319" s="1">
        <v>45931</v>
      </c>
      <c r="E319">
        <v>85000</v>
      </c>
    </row>
    <row r="320" spans="1:5" x14ac:dyDescent="0.35">
      <c r="A320" t="s">
        <v>60</v>
      </c>
      <c r="B320" t="s">
        <v>61</v>
      </c>
      <c r="C320" t="s">
        <v>28</v>
      </c>
      <c r="D320" s="1">
        <v>45778</v>
      </c>
      <c r="E320">
        <v>35000</v>
      </c>
    </row>
    <row r="321" spans="1:5" x14ac:dyDescent="0.35">
      <c r="A321" t="s">
        <v>19</v>
      </c>
      <c r="B321" t="s">
        <v>20</v>
      </c>
      <c r="C321" t="s">
        <v>16</v>
      </c>
      <c r="D321" s="1">
        <v>45658</v>
      </c>
      <c r="E321">
        <v>61000</v>
      </c>
    </row>
    <row r="322" spans="1:5" x14ac:dyDescent="0.35">
      <c r="A322" t="s">
        <v>62</v>
      </c>
      <c r="B322" t="s">
        <v>63</v>
      </c>
      <c r="C322" t="s">
        <v>28</v>
      </c>
      <c r="D322" s="1">
        <v>45962</v>
      </c>
      <c r="E322">
        <v>36000</v>
      </c>
    </row>
    <row r="323" spans="1:5" x14ac:dyDescent="0.35">
      <c r="A323" t="s">
        <v>53</v>
      </c>
      <c r="B323" t="s">
        <v>54</v>
      </c>
      <c r="C323" t="s">
        <v>10</v>
      </c>
      <c r="D323" s="1">
        <v>45658</v>
      </c>
      <c r="E323">
        <v>35000</v>
      </c>
    </row>
    <row r="324" spans="1:5" x14ac:dyDescent="0.35">
      <c r="A324" t="s">
        <v>39</v>
      </c>
      <c r="B324" t="s">
        <v>40</v>
      </c>
      <c r="C324" t="s">
        <v>10</v>
      </c>
      <c r="D324" s="1">
        <v>45931</v>
      </c>
      <c r="E324">
        <v>31000</v>
      </c>
    </row>
    <row r="325" spans="1:5" x14ac:dyDescent="0.35">
      <c r="A325" t="s">
        <v>19</v>
      </c>
      <c r="B325" t="s">
        <v>20</v>
      </c>
      <c r="C325" t="s">
        <v>50</v>
      </c>
      <c r="D325" s="1">
        <v>45717</v>
      </c>
      <c r="E325">
        <v>10000</v>
      </c>
    </row>
    <row r="326" spans="1:5" x14ac:dyDescent="0.35">
      <c r="A326" t="s">
        <v>17</v>
      </c>
      <c r="B326" t="s">
        <v>18</v>
      </c>
      <c r="C326" t="s">
        <v>21</v>
      </c>
      <c r="D326" s="1">
        <v>45689</v>
      </c>
      <c r="E326">
        <v>8000</v>
      </c>
    </row>
    <row r="327" spans="1:5" x14ac:dyDescent="0.35">
      <c r="A327" t="s">
        <v>14</v>
      </c>
      <c r="B327" t="s">
        <v>15</v>
      </c>
      <c r="C327" t="s">
        <v>16</v>
      </c>
      <c r="D327" s="1">
        <v>45717</v>
      </c>
      <c r="E327">
        <v>66000</v>
      </c>
    </row>
    <row r="328" spans="1:5" x14ac:dyDescent="0.35">
      <c r="A328" t="s">
        <v>74</v>
      </c>
      <c r="B328" t="s">
        <v>75</v>
      </c>
      <c r="C328" t="s">
        <v>28</v>
      </c>
      <c r="D328" s="1">
        <v>45992</v>
      </c>
      <c r="E328">
        <v>155000</v>
      </c>
    </row>
    <row r="329" spans="1:5" x14ac:dyDescent="0.35">
      <c r="A329" t="s">
        <v>26</v>
      </c>
      <c r="B329" t="s">
        <v>27</v>
      </c>
      <c r="C329" t="s">
        <v>16</v>
      </c>
      <c r="D329" s="1">
        <v>45748</v>
      </c>
      <c r="E329">
        <v>58000</v>
      </c>
    </row>
    <row r="330" spans="1:5" x14ac:dyDescent="0.35">
      <c r="A330" t="s">
        <v>8</v>
      </c>
      <c r="B330" t="s">
        <v>9</v>
      </c>
      <c r="C330" t="s">
        <v>16</v>
      </c>
      <c r="D330" s="1">
        <v>45901</v>
      </c>
      <c r="E330">
        <v>70000</v>
      </c>
    </row>
    <row r="331" spans="1:5" x14ac:dyDescent="0.35">
      <c r="A331" t="s">
        <v>41</v>
      </c>
      <c r="B331" t="s">
        <v>42</v>
      </c>
      <c r="C331" t="s">
        <v>16</v>
      </c>
      <c r="D331" s="1">
        <v>45901</v>
      </c>
      <c r="E331">
        <v>102000</v>
      </c>
    </row>
    <row r="332" spans="1:5" x14ac:dyDescent="0.35">
      <c r="A332" t="s">
        <v>43</v>
      </c>
      <c r="B332" t="s">
        <v>44</v>
      </c>
      <c r="C332" t="s">
        <v>16</v>
      </c>
      <c r="D332" s="1">
        <v>45870</v>
      </c>
      <c r="E332">
        <v>70000</v>
      </c>
    </row>
    <row r="333" spans="1:5" x14ac:dyDescent="0.35">
      <c r="A333" t="s">
        <v>39</v>
      </c>
      <c r="B333" t="s">
        <v>40</v>
      </c>
      <c r="C333" t="s">
        <v>16</v>
      </c>
      <c r="D333" s="1">
        <v>45931</v>
      </c>
      <c r="E333">
        <v>60000</v>
      </c>
    </row>
    <row r="334" spans="1:5" x14ac:dyDescent="0.35">
      <c r="A334" t="s">
        <v>48</v>
      </c>
      <c r="B334" t="s">
        <v>49</v>
      </c>
      <c r="C334" t="s">
        <v>10</v>
      </c>
      <c r="D334" s="1">
        <v>45778</v>
      </c>
      <c r="E334">
        <v>26000</v>
      </c>
    </row>
    <row r="335" spans="1:5" x14ac:dyDescent="0.35">
      <c r="A335" t="s">
        <v>5</v>
      </c>
      <c r="B335" t="s">
        <v>6</v>
      </c>
      <c r="C335" t="s">
        <v>28</v>
      </c>
      <c r="D335" s="1">
        <v>45689</v>
      </c>
      <c r="E335">
        <v>85000</v>
      </c>
    </row>
    <row r="336" spans="1:5" x14ac:dyDescent="0.35">
      <c r="A336" t="s">
        <v>91</v>
      </c>
      <c r="B336" t="s">
        <v>102</v>
      </c>
      <c r="C336" t="s">
        <v>28</v>
      </c>
      <c r="D336" s="1">
        <v>45748</v>
      </c>
      <c r="E336">
        <v>90000</v>
      </c>
    </row>
    <row r="337" spans="1:5" x14ac:dyDescent="0.35">
      <c r="A337" t="s">
        <v>22</v>
      </c>
      <c r="B337" t="s">
        <v>23</v>
      </c>
      <c r="C337" t="s">
        <v>16</v>
      </c>
      <c r="D337" s="1">
        <v>45748</v>
      </c>
      <c r="E337">
        <v>111000</v>
      </c>
    </row>
    <row r="338" spans="1:5" x14ac:dyDescent="0.35">
      <c r="A338" t="s">
        <v>43</v>
      </c>
      <c r="B338" t="s">
        <v>44</v>
      </c>
      <c r="C338" t="s">
        <v>21</v>
      </c>
      <c r="D338" s="1">
        <v>45809</v>
      </c>
      <c r="E338">
        <v>27000</v>
      </c>
    </row>
    <row r="339" spans="1:5" x14ac:dyDescent="0.35">
      <c r="A339" t="s">
        <v>8</v>
      </c>
      <c r="B339" t="s">
        <v>9</v>
      </c>
      <c r="C339" t="s">
        <v>10</v>
      </c>
      <c r="D339" s="1">
        <v>45931</v>
      </c>
      <c r="E339">
        <v>35000</v>
      </c>
    </row>
    <row r="340" spans="1:5" x14ac:dyDescent="0.35">
      <c r="A340" t="s">
        <v>78</v>
      </c>
      <c r="B340" t="s">
        <v>80</v>
      </c>
      <c r="C340" t="s">
        <v>28</v>
      </c>
      <c r="D340" s="1">
        <v>45689</v>
      </c>
      <c r="E340">
        <v>49000</v>
      </c>
    </row>
    <row r="341" spans="1:5" x14ac:dyDescent="0.35">
      <c r="A341" t="s">
        <v>33</v>
      </c>
      <c r="B341" t="s">
        <v>34</v>
      </c>
      <c r="C341" t="s">
        <v>28</v>
      </c>
      <c r="D341" s="1">
        <v>45689</v>
      </c>
      <c r="E341">
        <v>66000</v>
      </c>
    </row>
    <row r="342" spans="1:5" x14ac:dyDescent="0.35">
      <c r="A342" t="s">
        <v>39</v>
      </c>
      <c r="B342" t="s">
        <v>40</v>
      </c>
      <c r="C342" t="s">
        <v>50</v>
      </c>
      <c r="D342" s="1">
        <v>45962</v>
      </c>
      <c r="E342">
        <v>19000</v>
      </c>
    </row>
    <row r="343" spans="1:5" x14ac:dyDescent="0.35">
      <c r="A343" t="s">
        <v>35</v>
      </c>
      <c r="B343" t="s">
        <v>36</v>
      </c>
      <c r="C343" t="s">
        <v>7</v>
      </c>
      <c r="D343" s="1">
        <v>45992</v>
      </c>
      <c r="E343">
        <v>16000</v>
      </c>
    </row>
    <row r="344" spans="1:5" x14ac:dyDescent="0.35">
      <c r="A344" t="s">
        <v>60</v>
      </c>
      <c r="B344" t="s">
        <v>61</v>
      </c>
      <c r="C344" t="s">
        <v>28</v>
      </c>
      <c r="D344" s="1">
        <v>45839</v>
      </c>
      <c r="E344">
        <v>35000</v>
      </c>
    </row>
    <row r="345" spans="1:5" x14ac:dyDescent="0.35">
      <c r="A345" t="s">
        <v>11</v>
      </c>
      <c r="B345" t="s">
        <v>59</v>
      </c>
      <c r="C345" t="s">
        <v>21</v>
      </c>
      <c r="D345" s="1">
        <v>45870</v>
      </c>
      <c r="E345">
        <v>27000</v>
      </c>
    </row>
    <row r="346" spans="1:5" x14ac:dyDescent="0.35">
      <c r="A346" t="s">
        <v>48</v>
      </c>
      <c r="B346" t="s">
        <v>49</v>
      </c>
      <c r="C346" t="s">
        <v>7</v>
      </c>
      <c r="D346" s="1">
        <v>45870</v>
      </c>
      <c r="E346">
        <v>26000</v>
      </c>
    </row>
    <row r="347" spans="1:5" x14ac:dyDescent="0.35">
      <c r="A347" t="s">
        <v>41</v>
      </c>
      <c r="B347" t="s">
        <v>42</v>
      </c>
      <c r="C347" t="s">
        <v>10</v>
      </c>
      <c r="D347" s="1">
        <v>45717</v>
      </c>
      <c r="E347">
        <v>17000</v>
      </c>
    </row>
    <row r="348" spans="1:5" x14ac:dyDescent="0.35">
      <c r="A348" t="s">
        <v>8</v>
      </c>
      <c r="B348" t="s">
        <v>9</v>
      </c>
      <c r="C348" t="s">
        <v>28</v>
      </c>
      <c r="D348" s="1">
        <v>45809</v>
      </c>
      <c r="E348">
        <v>70000</v>
      </c>
    </row>
    <row r="349" spans="1:5" x14ac:dyDescent="0.35">
      <c r="A349" t="s">
        <v>53</v>
      </c>
      <c r="B349" t="s">
        <v>54</v>
      </c>
      <c r="C349" t="s">
        <v>10</v>
      </c>
      <c r="D349" s="1">
        <v>45689</v>
      </c>
      <c r="E349">
        <v>35000</v>
      </c>
    </row>
    <row r="350" spans="1:5" x14ac:dyDescent="0.35">
      <c r="A350" t="s">
        <v>39</v>
      </c>
      <c r="B350" t="s">
        <v>40</v>
      </c>
      <c r="C350" t="s">
        <v>7</v>
      </c>
      <c r="D350" s="1">
        <v>45717</v>
      </c>
      <c r="E350">
        <v>26000</v>
      </c>
    </row>
    <row r="351" spans="1:5" x14ac:dyDescent="0.35">
      <c r="A351" t="s">
        <v>60</v>
      </c>
      <c r="B351" t="s">
        <v>61</v>
      </c>
      <c r="C351" t="s">
        <v>10</v>
      </c>
      <c r="D351" s="1">
        <v>45717</v>
      </c>
      <c r="E351">
        <v>23000</v>
      </c>
    </row>
    <row r="352" spans="1:5" x14ac:dyDescent="0.35">
      <c r="A352" t="s">
        <v>60</v>
      </c>
      <c r="B352" t="s">
        <v>61</v>
      </c>
      <c r="C352" t="s">
        <v>21</v>
      </c>
      <c r="D352" s="1">
        <v>45931</v>
      </c>
      <c r="E352">
        <v>18000</v>
      </c>
    </row>
    <row r="353" spans="1:5" x14ac:dyDescent="0.35">
      <c r="A353" t="s">
        <v>29</v>
      </c>
      <c r="B353" t="s">
        <v>46</v>
      </c>
      <c r="C353" t="s">
        <v>16</v>
      </c>
      <c r="D353" s="1">
        <v>45931</v>
      </c>
      <c r="E353">
        <v>60000</v>
      </c>
    </row>
    <row r="354" spans="1:5" x14ac:dyDescent="0.35">
      <c r="A354" t="s">
        <v>24</v>
      </c>
      <c r="B354" t="s">
        <v>45</v>
      </c>
      <c r="C354" t="s">
        <v>10</v>
      </c>
      <c r="D354" s="1">
        <v>45627</v>
      </c>
      <c r="E354">
        <v>31000</v>
      </c>
    </row>
    <row r="355" spans="1:5" x14ac:dyDescent="0.35">
      <c r="A355" t="s">
        <v>41</v>
      </c>
      <c r="B355" t="s">
        <v>42</v>
      </c>
      <c r="C355" t="s">
        <v>21</v>
      </c>
      <c r="D355" s="1">
        <v>45870</v>
      </c>
      <c r="E355">
        <v>22000</v>
      </c>
    </row>
    <row r="356" spans="1:5" x14ac:dyDescent="0.35">
      <c r="A356" t="s">
        <v>19</v>
      </c>
      <c r="B356" t="s">
        <v>20</v>
      </c>
      <c r="C356" t="s">
        <v>16</v>
      </c>
      <c r="D356" s="1">
        <v>45627</v>
      </c>
      <c r="E356">
        <v>61000</v>
      </c>
    </row>
    <row r="357" spans="1:5" x14ac:dyDescent="0.35">
      <c r="A357" t="s">
        <v>53</v>
      </c>
      <c r="B357" t="s">
        <v>103</v>
      </c>
      <c r="C357" t="s">
        <v>16</v>
      </c>
      <c r="D357" s="1">
        <v>45689</v>
      </c>
      <c r="E357">
        <v>63000</v>
      </c>
    </row>
    <row r="358" spans="1:5" x14ac:dyDescent="0.35">
      <c r="A358" t="s">
        <v>91</v>
      </c>
      <c r="B358" t="s">
        <v>92</v>
      </c>
      <c r="C358" t="s">
        <v>28</v>
      </c>
      <c r="D358" s="1">
        <v>45962</v>
      </c>
      <c r="E358">
        <v>116000</v>
      </c>
    </row>
    <row r="359" spans="1:5" x14ac:dyDescent="0.35">
      <c r="A359" t="s">
        <v>72</v>
      </c>
      <c r="B359" t="s">
        <v>73</v>
      </c>
      <c r="C359" t="s">
        <v>16</v>
      </c>
      <c r="D359" s="1">
        <v>45627</v>
      </c>
      <c r="E359">
        <v>117000</v>
      </c>
    </row>
    <row r="360" spans="1:5" x14ac:dyDescent="0.35">
      <c r="A360" t="s">
        <v>5</v>
      </c>
      <c r="B360" t="s">
        <v>6</v>
      </c>
      <c r="C360" t="s">
        <v>28</v>
      </c>
      <c r="D360" s="1">
        <v>45931</v>
      </c>
      <c r="E360">
        <v>97000</v>
      </c>
    </row>
    <row r="361" spans="1:5" x14ac:dyDescent="0.35">
      <c r="A361" t="s">
        <v>53</v>
      </c>
      <c r="B361" t="s">
        <v>54</v>
      </c>
      <c r="C361" t="s">
        <v>28</v>
      </c>
      <c r="D361" s="1">
        <v>45962</v>
      </c>
      <c r="E361">
        <v>73000</v>
      </c>
    </row>
    <row r="362" spans="1:5" x14ac:dyDescent="0.35">
      <c r="A362" t="s">
        <v>37</v>
      </c>
      <c r="B362" t="s">
        <v>38</v>
      </c>
      <c r="C362" t="s">
        <v>16</v>
      </c>
      <c r="D362" s="1">
        <v>45992</v>
      </c>
      <c r="E362">
        <v>88000</v>
      </c>
    </row>
    <row r="363" spans="1:5" x14ac:dyDescent="0.35">
      <c r="A363" t="s">
        <v>57</v>
      </c>
      <c r="B363" t="s">
        <v>58</v>
      </c>
      <c r="C363" t="s">
        <v>50</v>
      </c>
      <c r="D363" s="1">
        <v>45870</v>
      </c>
      <c r="E363">
        <v>20000</v>
      </c>
    </row>
    <row r="364" spans="1:5" x14ac:dyDescent="0.35">
      <c r="A364" t="s">
        <v>39</v>
      </c>
      <c r="B364" t="s">
        <v>40</v>
      </c>
      <c r="C364" t="s">
        <v>10</v>
      </c>
      <c r="D364" s="1">
        <v>45901</v>
      </c>
      <c r="E364">
        <v>31000</v>
      </c>
    </row>
    <row r="365" spans="1:5" x14ac:dyDescent="0.35">
      <c r="A365" t="s">
        <v>41</v>
      </c>
      <c r="B365" t="s">
        <v>42</v>
      </c>
      <c r="C365" t="s">
        <v>16</v>
      </c>
      <c r="D365" s="1">
        <v>45778</v>
      </c>
      <c r="E365">
        <v>102000</v>
      </c>
    </row>
    <row r="366" spans="1:5" x14ac:dyDescent="0.35">
      <c r="A366" t="s">
        <v>91</v>
      </c>
      <c r="B366" t="s">
        <v>92</v>
      </c>
      <c r="C366" t="s">
        <v>28</v>
      </c>
      <c r="D366" s="1">
        <v>45992</v>
      </c>
      <c r="E366">
        <v>116000</v>
      </c>
    </row>
    <row r="367" spans="1:5" x14ac:dyDescent="0.35">
      <c r="A367" t="s">
        <v>41</v>
      </c>
      <c r="B367" t="s">
        <v>42</v>
      </c>
      <c r="C367" t="s">
        <v>21</v>
      </c>
      <c r="D367" s="1">
        <v>45809</v>
      </c>
      <c r="E367">
        <v>22000</v>
      </c>
    </row>
    <row r="368" spans="1:5" x14ac:dyDescent="0.35">
      <c r="A368" t="s">
        <v>39</v>
      </c>
      <c r="B368" t="s">
        <v>40</v>
      </c>
      <c r="C368" t="s">
        <v>10</v>
      </c>
      <c r="D368" s="1">
        <v>45962</v>
      </c>
      <c r="E368">
        <v>31000</v>
      </c>
    </row>
    <row r="369" spans="1:5" x14ac:dyDescent="0.35">
      <c r="A369" t="s">
        <v>17</v>
      </c>
      <c r="B369" t="s">
        <v>104</v>
      </c>
      <c r="C369" t="s">
        <v>50</v>
      </c>
      <c r="D369" s="1">
        <v>45717</v>
      </c>
      <c r="E369">
        <v>8000</v>
      </c>
    </row>
    <row r="370" spans="1:5" x14ac:dyDescent="0.35">
      <c r="A370" t="s">
        <v>41</v>
      </c>
      <c r="B370" t="s">
        <v>42</v>
      </c>
      <c r="C370" t="s">
        <v>10</v>
      </c>
      <c r="D370" s="1">
        <v>45901</v>
      </c>
      <c r="E370" s="2" t="s">
        <v>105</v>
      </c>
    </row>
    <row r="371" spans="1:5" x14ac:dyDescent="0.35">
      <c r="A371" t="s">
        <v>70</v>
      </c>
      <c r="B371" t="s">
        <v>106</v>
      </c>
      <c r="C371" t="s">
        <v>21</v>
      </c>
      <c r="D371" s="1">
        <v>45627</v>
      </c>
      <c r="E371">
        <v>9000</v>
      </c>
    </row>
    <row r="372" spans="1:5" x14ac:dyDescent="0.35">
      <c r="A372" t="s">
        <v>11</v>
      </c>
      <c r="B372" t="s">
        <v>59</v>
      </c>
      <c r="C372" t="s">
        <v>28</v>
      </c>
      <c r="D372" s="1">
        <v>45870</v>
      </c>
      <c r="E372">
        <v>118000</v>
      </c>
    </row>
    <row r="373" spans="1:5" x14ac:dyDescent="0.35">
      <c r="A373" t="s">
        <v>37</v>
      </c>
      <c r="B373" t="s">
        <v>38</v>
      </c>
      <c r="C373" t="s">
        <v>65</v>
      </c>
      <c r="D373" s="1">
        <v>45809</v>
      </c>
      <c r="E373">
        <v>19000</v>
      </c>
    </row>
    <row r="374" spans="1:5" x14ac:dyDescent="0.35">
      <c r="A374" t="s">
        <v>72</v>
      </c>
      <c r="B374" t="s">
        <v>107</v>
      </c>
      <c r="C374" t="s">
        <v>10</v>
      </c>
      <c r="D374" s="1">
        <v>45839</v>
      </c>
      <c r="E374">
        <v>33000</v>
      </c>
    </row>
    <row r="375" spans="1:5" x14ac:dyDescent="0.35">
      <c r="A375" t="s">
        <v>33</v>
      </c>
      <c r="B375" t="s">
        <v>34</v>
      </c>
      <c r="C375" t="s">
        <v>50</v>
      </c>
      <c r="D375" s="1">
        <v>45839</v>
      </c>
      <c r="E375">
        <v>11000</v>
      </c>
    </row>
    <row r="376" spans="1:5" x14ac:dyDescent="0.35">
      <c r="A376" t="s">
        <v>5</v>
      </c>
      <c r="B376" t="s">
        <v>6</v>
      </c>
      <c r="C376" t="s">
        <v>28</v>
      </c>
      <c r="D376" s="1">
        <v>45839</v>
      </c>
      <c r="E376">
        <v>85000</v>
      </c>
    </row>
    <row r="377" spans="1:5" x14ac:dyDescent="0.35">
      <c r="A377" t="s">
        <v>48</v>
      </c>
      <c r="B377" t="s">
        <v>49</v>
      </c>
      <c r="C377" t="s">
        <v>21</v>
      </c>
      <c r="D377" s="1">
        <v>45809</v>
      </c>
      <c r="E377">
        <v>11000</v>
      </c>
    </row>
    <row r="378" spans="1:5" x14ac:dyDescent="0.35">
      <c r="A378" t="s">
        <v>70</v>
      </c>
      <c r="B378" t="s">
        <v>71</v>
      </c>
      <c r="C378" t="s">
        <v>21</v>
      </c>
      <c r="D378" s="1">
        <v>45689</v>
      </c>
      <c r="E378" s="2" t="s">
        <v>108</v>
      </c>
    </row>
    <row r="379" spans="1:5" x14ac:dyDescent="0.35">
      <c r="A379" t="s">
        <v>26</v>
      </c>
      <c r="B379" t="s">
        <v>27</v>
      </c>
      <c r="C379" t="s">
        <v>13</v>
      </c>
      <c r="D379" s="1">
        <v>45962</v>
      </c>
      <c r="E379">
        <v>10000</v>
      </c>
    </row>
    <row r="380" spans="1:5" x14ac:dyDescent="0.35">
      <c r="A380" t="s">
        <v>60</v>
      </c>
      <c r="B380" t="s">
        <v>61</v>
      </c>
      <c r="C380" t="s">
        <v>50</v>
      </c>
      <c r="D380" s="1">
        <v>45627</v>
      </c>
      <c r="E380">
        <v>18000</v>
      </c>
    </row>
    <row r="381" spans="1:5" x14ac:dyDescent="0.35">
      <c r="A381" t="s">
        <v>17</v>
      </c>
      <c r="B381" t="s">
        <v>18</v>
      </c>
      <c r="C381" t="s">
        <v>7</v>
      </c>
      <c r="D381" s="1">
        <v>45901</v>
      </c>
      <c r="E381">
        <v>45000</v>
      </c>
    </row>
    <row r="382" spans="1:5" x14ac:dyDescent="0.35">
      <c r="A382" t="s">
        <v>8</v>
      </c>
      <c r="B382" t="s">
        <v>9</v>
      </c>
      <c r="C382" t="s">
        <v>10</v>
      </c>
      <c r="D382" s="1">
        <v>45748</v>
      </c>
      <c r="E382">
        <v>35000</v>
      </c>
    </row>
    <row r="383" spans="1:5" x14ac:dyDescent="0.35">
      <c r="A383" t="s">
        <v>24</v>
      </c>
      <c r="B383" t="s">
        <v>45</v>
      </c>
      <c r="C383" t="s">
        <v>28</v>
      </c>
      <c r="D383" s="1">
        <v>45931</v>
      </c>
      <c r="E383">
        <v>100000</v>
      </c>
    </row>
    <row r="384" spans="1:5" x14ac:dyDescent="0.35">
      <c r="A384" t="s">
        <v>17</v>
      </c>
      <c r="B384" t="s">
        <v>18</v>
      </c>
      <c r="C384" t="s">
        <v>50</v>
      </c>
      <c r="D384" s="1">
        <v>45839</v>
      </c>
      <c r="E384">
        <v>10000</v>
      </c>
    </row>
    <row r="385" spans="1:5" x14ac:dyDescent="0.35">
      <c r="A385" t="s">
        <v>48</v>
      </c>
      <c r="B385" t="s">
        <v>49</v>
      </c>
      <c r="C385" t="s">
        <v>28</v>
      </c>
      <c r="D385" s="1">
        <v>45870</v>
      </c>
      <c r="E385">
        <v>112000</v>
      </c>
    </row>
    <row r="386" spans="1:5" x14ac:dyDescent="0.35">
      <c r="A386" t="s">
        <v>39</v>
      </c>
      <c r="B386" t="s">
        <v>40</v>
      </c>
      <c r="C386" t="s">
        <v>16</v>
      </c>
      <c r="D386" s="1">
        <v>45870</v>
      </c>
      <c r="E386">
        <v>60000</v>
      </c>
    </row>
    <row r="387" spans="1:5" x14ac:dyDescent="0.35">
      <c r="A387" t="s">
        <v>24</v>
      </c>
      <c r="B387" t="s">
        <v>45</v>
      </c>
      <c r="C387" t="s">
        <v>10</v>
      </c>
      <c r="D387" s="1">
        <v>45839</v>
      </c>
      <c r="E387">
        <v>38000</v>
      </c>
    </row>
    <row r="388" spans="1:5" x14ac:dyDescent="0.35">
      <c r="A388" t="s">
        <v>87</v>
      </c>
      <c r="B388" t="s">
        <v>88</v>
      </c>
      <c r="C388" t="s">
        <v>28</v>
      </c>
      <c r="D388" s="1">
        <v>45870</v>
      </c>
      <c r="E388">
        <v>73000</v>
      </c>
    </row>
    <row r="389" spans="1:5" x14ac:dyDescent="0.35">
      <c r="A389" t="s">
        <v>48</v>
      </c>
      <c r="B389" t="s">
        <v>49</v>
      </c>
      <c r="C389" t="s">
        <v>7</v>
      </c>
      <c r="D389" s="1">
        <v>45717</v>
      </c>
      <c r="E389">
        <v>26000</v>
      </c>
    </row>
    <row r="390" spans="1:5" x14ac:dyDescent="0.35">
      <c r="A390" t="s">
        <v>11</v>
      </c>
      <c r="B390" t="s">
        <v>59</v>
      </c>
      <c r="C390" t="s">
        <v>16</v>
      </c>
      <c r="D390" s="1">
        <v>45627</v>
      </c>
      <c r="E390">
        <v>118000</v>
      </c>
    </row>
    <row r="391" spans="1:5" x14ac:dyDescent="0.35">
      <c r="A391" t="s">
        <v>74</v>
      </c>
      <c r="B391" t="s">
        <v>75</v>
      </c>
      <c r="C391" t="s">
        <v>16</v>
      </c>
      <c r="D391" s="1">
        <v>45748</v>
      </c>
      <c r="E391">
        <v>120000</v>
      </c>
    </row>
    <row r="392" spans="1:5" x14ac:dyDescent="0.35">
      <c r="A392" t="s">
        <v>62</v>
      </c>
      <c r="B392" t="s">
        <v>63</v>
      </c>
      <c r="C392" t="s">
        <v>28</v>
      </c>
      <c r="D392" s="1">
        <v>45689</v>
      </c>
      <c r="E392">
        <v>62000</v>
      </c>
    </row>
    <row r="393" spans="1:5" x14ac:dyDescent="0.35">
      <c r="A393" t="s">
        <v>53</v>
      </c>
      <c r="B393" t="s">
        <v>54</v>
      </c>
      <c r="C393" t="s">
        <v>7</v>
      </c>
      <c r="D393" s="1">
        <v>45839</v>
      </c>
      <c r="E393">
        <v>35000</v>
      </c>
    </row>
    <row r="394" spans="1:5" x14ac:dyDescent="0.35">
      <c r="A394" t="s">
        <v>33</v>
      </c>
      <c r="B394" t="s">
        <v>34</v>
      </c>
      <c r="C394" t="s">
        <v>28</v>
      </c>
      <c r="D394" s="1">
        <v>45717</v>
      </c>
      <c r="E394">
        <v>66000</v>
      </c>
    </row>
    <row r="395" spans="1:5" x14ac:dyDescent="0.35">
      <c r="A395" t="s">
        <v>68</v>
      </c>
      <c r="B395" t="s">
        <v>69</v>
      </c>
      <c r="C395" t="s">
        <v>16</v>
      </c>
      <c r="D395" s="1">
        <v>45962</v>
      </c>
      <c r="E395">
        <v>40000</v>
      </c>
    </row>
    <row r="396" spans="1:5" x14ac:dyDescent="0.35">
      <c r="A396" t="s">
        <v>22</v>
      </c>
      <c r="B396" t="s">
        <v>23</v>
      </c>
      <c r="C396" t="s">
        <v>16</v>
      </c>
      <c r="D396" s="1">
        <v>45839</v>
      </c>
      <c r="E396">
        <v>111000</v>
      </c>
    </row>
    <row r="397" spans="1:5" x14ac:dyDescent="0.35">
      <c r="A397" t="s">
        <v>48</v>
      </c>
      <c r="B397" t="s">
        <v>49</v>
      </c>
      <c r="C397" t="s">
        <v>16</v>
      </c>
      <c r="D397" s="1">
        <v>45658</v>
      </c>
      <c r="E397">
        <v>100000</v>
      </c>
    </row>
    <row r="398" spans="1:5" x14ac:dyDescent="0.35">
      <c r="A398" t="s">
        <v>91</v>
      </c>
      <c r="B398" t="s">
        <v>92</v>
      </c>
      <c r="C398" t="s">
        <v>10</v>
      </c>
      <c r="D398" s="1">
        <v>45962</v>
      </c>
      <c r="E398">
        <v>25000</v>
      </c>
    </row>
    <row r="399" spans="1:5" x14ac:dyDescent="0.35">
      <c r="A399" t="s">
        <v>26</v>
      </c>
      <c r="B399" t="s">
        <v>27</v>
      </c>
      <c r="C399" t="s">
        <v>16</v>
      </c>
      <c r="D399" s="1">
        <v>45901</v>
      </c>
      <c r="E399">
        <v>72000</v>
      </c>
    </row>
    <row r="400" spans="1:5" x14ac:dyDescent="0.35">
      <c r="A400" t="s">
        <v>78</v>
      </c>
      <c r="B400" t="s">
        <v>79</v>
      </c>
      <c r="C400" t="s">
        <v>28</v>
      </c>
      <c r="D400" s="1">
        <v>45717</v>
      </c>
      <c r="E400">
        <v>49000</v>
      </c>
    </row>
    <row r="401" spans="1:5" x14ac:dyDescent="0.35">
      <c r="A401" t="s">
        <v>48</v>
      </c>
      <c r="B401" t="s">
        <v>49</v>
      </c>
      <c r="C401" t="s">
        <v>16</v>
      </c>
      <c r="D401" s="1">
        <v>45839</v>
      </c>
      <c r="E401">
        <v>112000</v>
      </c>
    </row>
    <row r="402" spans="1:5" x14ac:dyDescent="0.35">
      <c r="A402" t="s">
        <v>33</v>
      </c>
      <c r="B402" t="s">
        <v>34</v>
      </c>
      <c r="C402" t="s">
        <v>21</v>
      </c>
      <c r="D402" s="1">
        <v>45870</v>
      </c>
      <c r="E402">
        <v>11000</v>
      </c>
    </row>
    <row r="403" spans="1:5" x14ac:dyDescent="0.35">
      <c r="A403" t="s">
        <v>19</v>
      </c>
      <c r="B403" t="s">
        <v>20</v>
      </c>
      <c r="C403" t="s">
        <v>16</v>
      </c>
      <c r="D403" s="1">
        <v>45809</v>
      </c>
      <c r="E403">
        <v>79000</v>
      </c>
    </row>
    <row r="404" spans="1:5" x14ac:dyDescent="0.35">
      <c r="A404" t="s">
        <v>51</v>
      </c>
      <c r="B404" t="s">
        <v>52</v>
      </c>
      <c r="C404" t="s">
        <v>10</v>
      </c>
      <c r="D404" s="1">
        <v>45658</v>
      </c>
      <c r="E404">
        <v>27000</v>
      </c>
    </row>
    <row r="405" spans="1:5" x14ac:dyDescent="0.35">
      <c r="A405" t="s">
        <v>29</v>
      </c>
      <c r="B405" t="s">
        <v>46</v>
      </c>
      <c r="C405" t="s">
        <v>10</v>
      </c>
      <c r="D405" s="1">
        <v>45839</v>
      </c>
      <c r="E405">
        <v>36000</v>
      </c>
    </row>
    <row r="406" spans="1:5" x14ac:dyDescent="0.35">
      <c r="A406" t="s">
        <v>72</v>
      </c>
      <c r="B406" t="s">
        <v>73</v>
      </c>
      <c r="C406" t="s">
        <v>28</v>
      </c>
      <c r="D406" s="1">
        <v>45839</v>
      </c>
      <c r="E406">
        <v>117000</v>
      </c>
    </row>
    <row r="407" spans="1:5" x14ac:dyDescent="0.35">
      <c r="A407" t="s">
        <v>37</v>
      </c>
      <c r="B407" t="s">
        <v>38</v>
      </c>
      <c r="C407" t="s">
        <v>28</v>
      </c>
      <c r="D407" s="1">
        <v>45901</v>
      </c>
      <c r="E407">
        <v>88000</v>
      </c>
    </row>
    <row r="408" spans="1:5" x14ac:dyDescent="0.35">
      <c r="A408" t="s">
        <v>70</v>
      </c>
      <c r="B408" t="s">
        <v>71</v>
      </c>
      <c r="C408" t="s">
        <v>28</v>
      </c>
      <c r="D408" s="1">
        <v>45689</v>
      </c>
      <c r="E408">
        <v>85000</v>
      </c>
    </row>
    <row r="409" spans="1:5" x14ac:dyDescent="0.35">
      <c r="A409" t="s">
        <v>70</v>
      </c>
      <c r="B409" t="s">
        <v>71</v>
      </c>
      <c r="C409" t="s">
        <v>21</v>
      </c>
      <c r="D409" s="1">
        <v>45931</v>
      </c>
      <c r="E409">
        <v>9000</v>
      </c>
    </row>
    <row r="410" spans="1:5" x14ac:dyDescent="0.35">
      <c r="A410" t="s">
        <v>29</v>
      </c>
      <c r="B410" t="s">
        <v>46</v>
      </c>
      <c r="C410" t="s">
        <v>10</v>
      </c>
      <c r="D410" s="1">
        <v>45627</v>
      </c>
      <c r="E410">
        <v>28000</v>
      </c>
    </row>
    <row r="411" spans="1:5" x14ac:dyDescent="0.35">
      <c r="A411" t="s">
        <v>24</v>
      </c>
      <c r="B411" t="s">
        <v>45</v>
      </c>
      <c r="C411" t="s">
        <v>28</v>
      </c>
      <c r="D411" s="1">
        <v>45962</v>
      </c>
      <c r="E411">
        <v>100000</v>
      </c>
    </row>
    <row r="412" spans="1:5" x14ac:dyDescent="0.35">
      <c r="A412" t="s">
        <v>78</v>
      </c>
      <c r="B412" t="s">
        <v>79</v>
      </c>
      <c r="C412" t="s">
        <v>16</v>
      </c>
      <c r="D412" s="1">
        <v>45901</v>
      </c>
      <c r="E412">
        <v>49000</v>
      </c>
    </row>
    <row r="413" spans="1:5" x14ac:dyDescent="0.35">
      <c r="A413" t="s">
        <v>55</v>
      </c>
      <c r="B413" t="s">
        <v>56</v>
      </c>
      <c r="C413" t="s">
        <v>16</v>
      </c>
      <c r="D413" s="1">
        <v>45901</v>
      </c>
      <c r="E413">
        <v>69000</v>
      </c>
    </row>
    <row r="414" spans="1:5" x14ac:dyDescent="0.35">
      <c r="A414" t="s">
        <v>35</v>
      </c>
      <c r="B414" t="s">
        <v>36</v>
      </c>
      <c r="C414" t="s">
        <v>28</v>
      </c>
      <c r="D414" s="1">
        <v>45962</v>
      </c>
      <c r="E414">
        <v>33000</v>
      </c>
    </row>
    <row r="415" spans="1:5" x14ac:dyDescent="0.35">
      <c r="A415" t="s">
        <v>48</v>
      </c>
      <c r="B415" t="s">
        <v>49</v>
      </c>
      <c r="C415" t="s">
        <v>28</v>
      </c>
      <c r="D415" s="1">
        <v>45962</v>
      </c>
      <c r="E415">
        <v>112000</v>
      </c>
    </row>
    <row r="416" spans="1:5" x14ac:dyDescent="0.35">
      <c r="A416" t="s">
        <v>14</v>
      </c>
      <c r="B416" t="s">
        <v>15</v>
      </c>
      <c r="C416" t="s">
        <v>28</v>
      </c>
      <c r="D416" s="1">
        <v>45839</v>
      </c>
      <c r="E416">
        <v>79000</v>
      </c>
    </row>
    <row r="417" spans="1:5" x14ac:dyDescent="0.35">
      <c r="A417" t="s">
        <v>39</v>
      </c>
      <c r="B417" t="s">
        <v>40</v>
      </c>
      <c r="C417" t="s">
        <v>16</v>
      </c>
      <c r="D417" s="1">
        <v>45778</v>
      </c>
      <c r="E417">
        <v>60000</v>
      </c>
    </row>
    <row r="418" spans="1:5" x14ac:dyDescent="0.35">
      <c r="A418" t="s">
        <v>41</v>
      </c>
      <c r="B418" t="s">
        <v>42</v>
      </c>
      <c r="C418" t="s">
        <v>10</v>
      </c>
      <c r="D418" s="1">
        <v>45992</v>
      </c>
      <c r="E418">
        <v>21000</v>
      </c>
    </row>
    <row r="419" spans="1:5" x14ac:dyDescent="0.35">
      <c r="A419" t="s">
        <v>37</v>
      </c>
      <c r="B419" t="s">
        <v>38</v>
      </c>
      <c r="C419" t="s">
        <v>16</v>
      </c>
      <c r="D419" s="1">
        <v>45839</v>
      </c>
      <c r="E419">
        <v>88000</v>
      </c>
    </row>
    <row r="420" spans="1:5" x14ac:dyDescent="0.35">
      <c r="A420" t="s">
        <v>41</v>
      </c>
      <c r="B420" t="s">
        <v>42</v>
      </c>
      <c r="C420" t="s">
        <v>7</v>
      </c>
      <c r="D420" s="1">
        <v>45809</v>
      </c>
      <c r="E420">
        <v>17000</v>
      </c>
    </row>
    <row r="421" spans="1:5" x14ac:dyDescent="0.35">
      <c r="A421" t="s">
        <v>22</v>
      </c>
      <c r="B421" t="s">
        <v>23</v>
      </c>
      <c r="C421" t="s">
        <v>28</v>
      </c>
      <c r="D421" s="1">
        <v>45689</v>
      </c>
      <c r="E421">
        <v>111000</v>
      </c>
    </row>
    <row r="422" spans="1:5" x14ac:dyDescent="0.35">
      <c r="A422" t="s">
        <v>60</v>
      </c>
      <c r="B422" t="s">
        <v>61</v>
      </c>
      <c r="C422" t="s">
        <v>10</v>
      </c>
      <c r="D422" s="1">
        <v>45658</v>
      </c>
      <c r="E422">
        <v>23000</v>
      </c>
    </row>
    <row r="423" spans="1:5" x14ac:dyDescent="0.35">
      <c r="A423" t="s">
        <v>57</v>
      </c>
      <c r="B423" t="s">
        <v>58</v>
      </c>
      <c r="C423" t="s">
        <v>16</v>
      </c>
      <c r="D423" s="1">
        <v>45992</v>
      </c>
      <c r="E423">
        <v>52000</v>
      </c>
    </row>
    <row r="424" spans="1:5" x14ac:dyDescent="0.35">
      <c r="A424" t="s">
        <v>11</v>
      </c>
      <c r="B424" t="s">
        <v>59</v>
      </c>
      <c r="C424" t="s">
        <v>28</v>
      </c>
      <c r="D424" s="1">
        <v>45717</v>
      </c>
      <c r="E424">
        <v>118000</v>
      </c>
    </row>
    <row r="425" spans="1:5" x14ac:dyDescent="0.35">
      <c r="A425" t="s">
        <v>24</v>
      </c>
      <c r="B425" t="s">
        <v>45</v>
      </c>
      <c r="C425" t="s">
        <v>10</v>
      </c>
      <c r="D425" s="1">
        <v>45689</v>
      </c>
      <c r="E425">
        <v>31000</v>
      </c>
    </row>
    <row r="426" spans="1:5" x14ac:dyDescent="0.35">
      <c r="A426" t="s">
        <v>48</v>
      </c>
      <c r="B426" t="s">
        <v>49</v>
      </c>
      <c r="C426" t="s">
        <v>50</v>
      </c>
      <c r="D426" s="1">
        <v>45748</v>
      </c>
      <c r="E426">
        <v>11000</v>
      </c>
    </row>
    <row r="427" spans="1:5" x14ac:dyDescent="0.35">
      <c r="A427" t="s">
        <v>5</v>
      </c>
      <c r="B427" t="s">
        <v>6</v>
      </c>
      <c r="C427" t="s">
        <v>21</v>
      </c>
      <c r="D427" s="1">
        <v>45839</v>
      </c>
      <c r="E427">
        <v>19000</v>
      </c>
    </row>
    <row r="428" spans="1:5" x14ac:dyDescent="0.35">
      <c r="A428" t="s">
        <v>5</v>
      </c>
      <c r="B428" t="s">
        <v>6</v>
      </c>
      <c r="C428" t="s">
        <v>65</v>
      </c>
      <c r="D428" s="1">
        <v>45748</v>
      </c>
      <c r="E428">
        <v>24000</v>
      </c>
    </row>
    <row r="429" spans="1:5" x14ac:dyDescent="0.35">
      <c r="A429" t="s">
        <v>22</v>
      </c>
      <c r="B429" t="s">
        <v>23</v>
      </c>
      <c r="C429" t="s">
        <v>28</v>
      </c>
      <c r="D429" s="1">
        <v>45658</v>
      </c>
      <c r="E429">
        <v>111000</v>
      </c>
    </row>
    <row r="430" spans="1:5" x14ac:dyDescent="0.35">
      <c r="A430" t="s">
        <v>19</v>
      </c>
      <c r="B430" t="s">
        <v>20</v>
      </c>
      <c r="C430" t="s">
        <v>21</v>
      </c>
      <c r="D430" s="1">
        <v>45931</v>
      </c>
      <c r="E430">
        <v>10000</v>
      </c>
    </row>
    <row r="431" spans="1:5" x14ac:dyDescent="0.35">
      <c r="A431" t="s">
        <v>11</v>
      </c>
      <c r="B431" t="s">
        <v>59</v>
      </c>
      <c r="C431" t="s">
        <v>50</v>
      </c>
      <c r="D431" s="1">
        <v>45839</v>
      </c>
      <c r="E431">
        <v>27000</v>
      </c>
    </row>
    <row r="432" spans="1:5" x14ac:dyDescent="0.35">
      <c r="A432" t="s">
        <v>39</v>
      </c>
      <c r="B432" t="s">
        <v>40</v>
      </c>
      <c r="C432" t="s">
        <v>10</v>
      </c>
      <c r="D432" s="1">
        <v>45870</v>
      </c>
      <c r="E432">
        <v>31000</v>
      </c>
    </row>
    <row r="433" spans="1:5" x14ac:dyDescent="0.35">
      <c r="A433" t="s">
        <v>19</v>
      </c>
      <c r="B433" t="s">
        <v>20</v>
      </c>
      <c r="C433" t="s">
        <v>10</v>
      </c>
      <c r="D433" s="1">
        <v>45809</v>
      </c>
      <c r="E433">
        <v>30000</v>
      </c>
    </row>
    <row r="434" spans="1:5" x14ac:dyDescent="0.35">
      <c r="A434" t="s">
        <v>74</v>
      </c>
      <c r="B434" t="s">
        <v>75</v>
      </c>
      <c r="C434" t="s">
        <v>16</v>
      </c>
      <c r="D434" s="1">
        <v>45717</v>
      </c>
      <c r="E434">
        <v>120000</v>
      </c>
    </row>
    <row r="435" spans="1:5" x14ac:dyDescent="0.35">
      <c r="A435" t="s">
        <v>22</v>
      </c>
      <c r="B435" t="s">
        <v>23</v>
      </c>
      <c r="C435" t="s">
        <v>16</v>
      </c>
      <c r="D435" s="1">
        <v>45992</v>
      </c>
      <c r="E435">
        <v>132000</v>
      </c>
    </row>
    <row r="436" spans="1:5" x14ac:dyDescent="0.35">
      <c r="A436" t="s">
        <v>33</v>
      </c>
      <c r="B436" t="s">
        <v>34</v>
      </c>
      <c r="C436" t="s">
        <v>28</v>
      </c>
      <c r="D436" s="1">
        <v>45901</v>
      </c>
      <c r="E436">
        <v>66000</v>
      </c>
    </row>
    <row r="437" spans="1:5" x14ac:dyDescent="0.35">
      <c r="A437" t="s">
        <v>72</v>
      </c>
      <c r="B437" t="s">
        <v>73</v>
      </c>
      <c r="C437" t="s">
        <v>10</v>
      </c>
      <c r="D437" s="1">
        <v>45778</v>
      </c>
      <c r="E437">
        <v>27000</v>
      </c>
    </row>
    <row r="438" spans="1:5" x14ac:dyDescent="0.35">
      <c r="A438" t="s">
        <v>43</v>
      </c>
      <c r="B438" t="s">
        <v>44</v>
      </c>
      <c r="C438" t="s">
        <v>10</v>
      </c>
      <c r="D438" s="1">
        <v>45689</v>
      </c>
      <c r="E438">
        <v>18000</v>
      </c>
    </row>
    <row r="439" spans="1:5" x14ac:dyDescent="0.35">
      <c r="A439" t="s">
        <v>70</v>
      </c>
      <c r="B439" t="s">
        <v>71</v>
      </c>
      <c r="C439" t="s">
        <v>13</v>
      </c>
      <c r="D439" s="1">
        <v>45717</v>
      </c>
      <c r="E439">
        <v>9000</v>
      </c>
    </row>
    <row r="440" spans="1:5" x14ac:dyDescent="0.35">
      <c r="A440" t="s">
        <v>41</v>
      </c>
      <c r="B440" t="s">
        <v>42</v>
      </c>
      <c r="C440" t="s">
        <v>16</v>
      </c>
      <c r="D440" s="1">
        <v>45992</v>
      </c>
      <c r="E440">
        <v>102000</v>
      </c>
    </row>
    <row r="441" spans="1:5" x14ac:dyDescent="0.35">
      <c r="A441" t="s">
        <v>5</v>
      </c>
      <c r="B441" t="s">
        <v>6</v>
      </c>
      <c r="C441" t="s">
        <v>16</v>
      </c>
      <c r="D441" s="1">
        <v>45778</v>
      </c>
      <c r="E441">
        <v>85000</v>
      </c>
    </row>
    <row r="442" spans="1:5" x14ac:dyDescent="0.35">
      <c r="A442" t="s">
        <v>5</v>
      </c>
      <c r="B442" t="s">
        <v>6</v>
      </c>
      <c r="C442" t="s">
        <v>13</v>
      </c>
      <c r="D442" s="1">
        <v>45748</v>
      </c>
      <c r="E442">
        <v>19000</v>
      </c>
    </row>
    <row r="443" spans="1:5" x14ac:dyDescent="0.35">
      <c r="A443" t="s">
        <v>37</v>
      </c>
      <c r="B443" t="s">
        <v>38</v>
      </c>
      <c r="C443" t="s">
        <v>28</v>
      </c>
      <c r="D443" s="1">
        <v>45778</v>
      </c>
      <c r="E443">
        <v>88000</v>
      </c>
    </row>
    <row r="444" spans="1:5" x14ac:dyDescent="0.35">
      <c r="A444" t="s">
        <v>91</v>
      </c>
      <c r="B444" t="s">
        <v>92</v>
      </c>
      <c r="C444" t="s">
        <v>65</v>
      </c>
      <c r="D444" s="1">
        <v>45992</v>
      </c>
      <c r="E444">
        <v>25000</v>
      </c>
    </row>
    <row r="445" spans="1:5" x14ac:dyDescent="0.35">
      <c r="A445" t="s">
        <v>70</v>
      </c>
      <c r="B445" t="s">
        <v>71</v>
      </c>
      <c r="C445" t="s">
        <v>21</v>
      </c>
      <c r="D445" s="1">
        <v>45870</v>
      </c>
      <c r="E445">
        <v>9000</v>
      </c>
    </row>
    <row r="446" spans="1:5" x14ac:dyDescent="0.35">
      <c r="A446" t="s">
        <v>53</v>
      </c>
      <c r="B446" t="s">
        <v>54</v>
      </c>
      <c r="C446" t="s">
        <v>10</v>
      </c>
      <c r="D446" s="1">
        <v>45992</v>
      </c>
      <c r="E446">
        <v>40000</v>
      </c>
    </row>
    <row r="447" spans="1:5" x14ac:dyDescent="0.35">
      <c r="A447" t="s">
        <v>43</v>
      </c>
      <c r="B447" t="s">
        <v>44</v>
      </c>
      <c r="C447" t="s">
        <v>7</v>
      </c>
      <c r="D447" s="1">
        <v>45901</v>
      </c>
      <c r="E447" s="2" t="s">
        <v>93</v>
      </c>
    </row>
    <row r="448" spans="1:5" x14ac:dyDescent="0.35">
      <c r="A448" t="s">
        <v>48</v>
      </c>
      <c r="B448" t="s">
        <v>49</v>
      </c>
      <c r="C448" t="s">
        <v>21</v>
      </c>
      <c r="D448" s="1">
        <v>45689</v>
      </c>
      <c r="E448">
        <v>11000</v>
      </c>
    </row>
    <row r="449" spans="1:5" x14ac:dyDescent="0.35">
      <c r="A449" t="s">
        <v>51</v>
      </c>
      <c r="B449" t="s">
        <v>52</v>
      </c>
      <c r="C449" t="s">
        <v>28</v>
      </c>
      <c r="D449" s="1">
        <v>45689</v>
      </c>
      <c r="E449">
        <v>38000</v>
      </c>
    </row>
    <row r="450" spans="1:5" x14ac:dyDescent="0.35">
      <c r="A450" t="s">
        <v>41</v>
      </c>
      <c r="B450" t="s">
        <v>42</v>
      </c>
      <c r="C450" t="s">
        <v>13</v>
      </c>
      <c r="D450" s="1">
        <v>45962</v>
      </c>
      <c r="E450">
        <v>22000</v>
      </c>
    </row>
    <row r="451" spans="1:5" x14ac:dyDescent="0.35">
      <c r="A451" t="s">
        <v>72</v>
      </c>
      <c r="B451" t="s">
        <v>73</v>
      </c>
      <c r="C451" t="s">
        <v>28</v>
      </c>
      <c r="D451" s="1">
        <v>45931</v>
      </c>
      <c r="E451">
        <v>117000</v>
      </c>
    </row>
    <row r="452" spans="1:5" x14ac:dyDescent="0.35">
      <c r="A452" t="s">
        <v>53</v>
      </c>
      <c r="B452" t="s">
        <v>54</v>
      </c>
      <c r="C452" t="s">
        <v>10</v>
      </c>
      <c r="D452" s="1">
        <v>45748</v>
      </c>
      <c r="E452">
        <v>35000</v>
      </c>
    </row>
    <row r="453" spans="1:5" x14ac:dyDescent="0.35">
      <c r="A453" t="s">
        <v>41</v>
      </c>
      <c r="B453" t="s">
        <v>42</v>
      </c>
      <c r="C453" t="s">
        <v>7</v>
      </c>
      <c r="D453" s="1">
        <v>45839</v>
      </c>
      <c r="E453">
        <v>17000</v>
      </c>
    </row>
    <row r="454" spans="1:5" x14ac:dyDescent="0.35">
      <c r="A454" t="s">
        <v>91</v>
      </c>
      <c r="B454" t="s">
        <v>92</v>
      </c>
      <c r="C454" t="s">
        <v>16</v>
      </c>
      <c r="D454" s="1">
        <v>45778</v>
      </c>
      <c r="E454">
        <v>90000</v>
      </c>
    </row>
    <row r="455" spans="1:5" x14ac:dyDescent="0.35">
      <c r="A455" t="s">
        <v>43</v>
      </c>
      <c r="B455" t="s">
        <v>44</v>
      </c>
      <c r="C455" t="s">
        <v>16</v>
      </c>
      <c r="D455" s="1">
        <v>45962</v>
      </c>
      <c r="E455">
        <v>70000</v>
      </c>
    </row>
    <row r="456" spans="1:5" x14ac:dyDescent="0.35">
      <c r="A456" t="s">
        <v>74</v>
      </c>
      <c r="B456" t="s">
        <v>75</v>
      </c>
      <c r="C456" t="s">
        <v>28</v>
      </c>
      <c r="D456" s="1">
        <v>45839</v>
      </c>
      <c r="E456" s="2" t="s">
        <v>109</v>
      </c>
    </row>
    <row r="457" spans="1:5" x14ac:dyDescent="0.35">
      <c r="A457" t="s">
        <v>8</v>
      </c>
      <c r="B457" t="s">
        <v>9</v>
      </c>
      <c r="C457" t="s">
        <v>21</v>
      </c>
      <c r="D457" s="1">
        <v>45839</v>
      </c>
      <c r="E457">
        <v>17000</v>
      </c>
    </row>
    <row r="458" spans="1:5" x14ac:dyDescent="0.35">
      <c r="A458" t="s">
        <v>5</v>
      </c>
      <c r="B458" t="s">
        <v>6</v>
      </c>
      <c r="C458" t="s">
        <v>21</v>
      </c>
      <c r="D458" s="1">
        <v>45778</v>
      </c>
      <c r="E458">
        <v>19000</v>
      </c>
    </row>
    <row r="459" spans="1:5" x14ac:dyDescent="0.35">
      <c r="A459" t="s">
        <v>66</v>
      </c>
      <c r="B459" t="s">
        <v>67</v>
      </c>
      <c r="C459" t="s">
        <v>21</v>
      </c>
      <c r="D459" s="1">
        <v>45962</v>
      </c>
      <c r="E459" t="s">
        <v>110</v>
      </c>
    </row>
    <row r="460" spans="1:5" x14ac:dyDescent="0.35">
      <c r="A460" t="s">
        <v>29</v>
      </c>
      <c r="B460" t="s">
        <v>30</v>
      </c>
      <c r="C460" t="s">
        <v>28</v>
      </c>
      <c r="D460" s="1">
        <v>45809</v>
      </c>
      <c r="E460">
        <v>60000</v>
      </c>
    </row>
    <row r="461" spans="1:5" x14ac:dyDescent="0.35">
      <c r="A461" t="s">
        <v>43</v>
      </c>
      <c r="B461" t="s">
        <v>44</v>
      </c>
      <c r="C461" t="s">
        <v>28</v>
      </c>
      <c r="D461" s="1">
        <v>45931</v>
      </c>
      <c r="E461">
        <v>70000</v>
      </c>
    </row>
    <row r="462" spans="1:5" x14ac:dyDescent="0.35">
      <c r="A462" t="s">
        <v>22</v>
      </c>
      <c r="B462" t="s">
        <v>23</v>
      </c>
      <c r="C462" t="s">
        <v>28</v>
      </c>
      <c r="D462" s="1">
        <v>45809</v>
      </c>
      <c r="E462">
        <v>111000</v>
      </c>
    </row>
    <row r="463" spans="1:5" x14ac:dyDescent="0.35">
      <c r="A463" t="s">
        <v>51</v>
      </c>
      <c r="B463" t="s">
        <v>52</v>
      </c>
      <c r="C463" t="s">
        <v>10</v>
      </c>
      <c r="D463" s="1">
        <v>45717</v>
      </c>
      <c r="E463">
        <v>22000</v>
      </c>
    </row>
    <row r="464" spans="1:5" x14ac:dyDescent="0.35">
      <c r="A464" t="s">
        <v>91</v>
      </c>
      <c r="B464" t="s">
        <v>92</v>
      </c>
      <c r="C464" t="s">
        <v>10</v>
      </c>
      <c r="D464" s="1">
        <v>45931</v>
      </c>
      <c r="E464">
        <v>25000</v>
      </c>
    </row>
    <row r="465" spans="1:5" x14ac:dyDescent="0.35">
      <c r="A465" t="s">
        <v>14</v>
      </c>
      <c r="B465" t="s">
        <v>15</v>
      </c>
      <c r="C465" t="s">
        <v>28</v>
      </c>
      <c r="D465" s="1">
        <v>45778</v>
      </c>
      <c r="E465">
        <v>79000</v>
      </c>
    </row>
    <row r="466" spans="1:5" x14ac:dyDescent="0.35">
      <c r="A466" t="s">
        <v>111</v>
      </c>
      <c r="B466" t="s">
        <v>112</v>
      </c>
      <c r="C466" t="s">
        <v>16</v>
      </c>
      <c r="D466" s="1">
        <v>45962</v>
      </c>
      <c r="E466">
        <v>72000</v>
      </c>
    </row>
    <row r="467" spans="1:5" x14ac:dyDescent="0.35">
      <c r="A467" t="s">
        <v>29</v>
      </c>
      <c r="B467" t="s">
        <v>46</v>
      </c>
      <c r="C467" t="s">
        <v>7</v>
      </c>
      <c r="D467" s="1">
        <v>45748</v>
      </c>
      <c r="E467">
        <v>36000</v>
      </c>
    </row>
    <row r="468" spans="1:5" x14ac:dyDescent="0.35">
      <c r="A468" t="s">
        <v>24</v>
      </c>
      <c r="B468" t="s">
        <v>45</v>
      </c>
      <c r="C468" t="s">
        <v>21</v>
      </c>
      <c r="D468" s="1">
        <v>45778</v>
      </c>
      <c r="E468">
        <v>22000</v>
      </c>
    </row>
    <row r="469" spans="1:5" x14ac:dyDescent="0.35">
      <c r="A469" t="s">
        <v>70</v>
      </c>
      <c r="B469" t="s">
        <v>71</v>
      </c>
      <c r="C469" t="s">
        <v>16</v>
      </c>
      <c r="D469" s="1">
        <v>45748</v>
      </c>
      <c r="E469">
        <v>85000</v>
      </c>
    </row>
    <row r="470" spans="1:5" x14ac:dyDescent="0.35">
      <c r="A470" t="s">
        <v>43</v>
      </c>
      <c r="B470" t="s">
        <v>44</v>
      </c>
      <c r="C470" t="s">
        <v>10</v>
      </c>
      <c r="D470" s="1">
        <v>45778</v>
      </c>
      <c r="E470">
        <v>22000</v>
      </c>
    </row>
    <row r="471" spans="1:5" x14ac:dyDescent="0.35">
      <c r="A471" t="s">
        <v>35</v>
      </c>
      <c r="B471" t="s">
        <v>81</v>
      </c>
      <c r="C471" t="s">
        <v>10</v>
      </c>
      <c r="D471" s="1">
        <v>45962</v>
      </c>
      <c r="E471">
        <v>13000</v>
      </c>
    </row>
    <row r="472" spans="1:5" x14ac:dyDescent="0.35">
      <c r="A472" t="s">
        <v>72</v>
      </c>
      <c r="B472" t="s">
        <v>73</v>
      </c>
      <c r="C472" t="s">
        <v>10</v>
      </c>
      <c r="D472" s="1">
        <v>45658</v>
      </c>
      <c r="E472">
        <v>27000</v>
      </c>
    </row>
    <row r="473" spans="1:5" x14ac:dyDescent="0.35">
      <c r="A473" t="s">
        <v>31</v>
      </c>
      <c r="B473" t="s">
        <v>32</v>
      </c>
      <c r="C473" t="s">
        <v>28</v>
      </c>
      <c r="D473" s="1">
        <v>45717</v>
      </c>
      <c r="E473">
        <v>77000</v>
      </c>
    </row>
    <row r="474" spans="1:5" x14ac:dyDescent="0.35">
      <c r="A474" t="s">
        <v>87</v>
      </c>
      <c r="B474" t="s">
        <v>88</v>
      </c>
      <c r="C474" t="s">
        <v>16</v>
      </c>
      <c r="D474" s="1">
        <v>45809</v>
      </c>
      <c r="E474">
        <v>73000</v>
      </c>
    </row>
    <row r="475" spans="1:5" x14ac:dyDescent="0.35">
      <c r="A475" t="s">
        <v>8</v>
      </c>
      <c r="B475" t="s">
        <v>9</v>
      </c>
      <c r="C475" t="s">
        <v>13</v>
      </c>
      <c r="D475" s="1">
        <v>45778</v>
      </c>
      <c r="E475">
        <v>17000</v>
      </c>
    </row>
    <row r="476" spans="1:5" x14ac:dyDescent="0.35">
      <c r="A476" t="s">
        <v>8</v>
      </c>
      <c r="B476" t="s">
        <v>9</v>
      </c>
      <c r="C476" t="s">
        <v>21</v>
      </c>
      <c r="D476" s="1">
        <v>45809</v>
      </c>
      <c r="E476">
        <v>17000</v>
      </c>
    </row>
    <row r="477" spans="1:5" x14ac:dyDescent="0.35">
      <c r="A477" t="s">
        <v>62</v>
      </c>
      <c r="B477" t="s">
        <v>63</v>
      </c>
      <c r="C477" t="s">
        <v>28</v>
      </c>
      <c r="D477" s="1">
        <v>45992</v>
      </c>
      <c r="E477">
        <v>36000</v>
      </c>
    </row>
    <row r="478" spans="1:5" x14ac:dyDescent="0.35">
      <c r="A478" t="s">
        <v>11</v>
      </c>
      <c r="B478" t="s">
        <v>59</v>
      </c>
      <c r="C478" t="s">
        <v>10</v>
      </c>
      <c r="D478" s="1">
        <v>45931</v>
      </c>
      <c r="E478">
        <v>39000</v>
      </c>
    </row>
    <row r="479" spans="1:5" x14ac:dyDescent="0.35">
      <c r="A479" t="s">
        <v>33</v>
      </c>
      <c r="B479" t="s">
        <v>34</v>
      </c>
      <c r="C479" t="s">
        <v>16</v>
      </c>
      <c r="D479" s="1">
        <v>45748</v>
      </c>
      <c r="E479">
        <v>66000</v>
      </c>
    </row>
    <row r="480" spans="1:5" x14ac:dyDescent="0.35">
      <c r="A480" t="s">
        <v>37</v>
      </c>
      <c r="B480" t="s">
        <v>38</v>
      </c>
      <c r="C480" t="s">
        <v>7</v>
      </c>
      <c r="D480" s="1">
        <v>45839</v>
      </c>
      <c r="E480">
        <v>19000</v>
      </c>
    </row>
    <row r="481" spans="1:5" x14ac:dyDescent="0.35">
      <c r="A481" t="s">
        <v>5</v>
      </c>
      <c r="B481" t="s">
        <v>6</v>
      </c>
      <c r="C481" t="s">
        <v>16</v>
      </c>
      <c r="D481" s="1">
        <v>45901</v>
      </c>
      <c r="E481">
        <v>97000</v>
      </c>
    </row>
    <row r="482" spans="1:5" x14ac:dyDescent="0.35">
      <c r="A482" t="s">
        <v>29</v>
      </c>
      <c r="B482" t="s">
        <v>30</v>
      </c>
      <c r="C482" t="s">
        <v>28</v>
      </c>
      <c r="D482" s="1">
        <v>45748</v>
      </c>
      <c r="E482">
        <v>60000</v>
      </c>
    </row>
    <row r="483" spans="1:5" x14ac:dyDescent="0.35">
      <c r="A483" t="s">
        <v>5</v>
      </c>
      <c r="B483" t="s">
        <v>113</v>
      </c>
      <c r="C483" t="s">
        <v>65</v>
      </c>
      <c r="D483" s="1">
        <v>45870</v>
      </c>
      <c r="E483">
        <v>24000</v>
      </c>
    </row>
    <row r="484" spans="1:5" x14ac:dyDescent="0.35">
      <c r="A484" t="s">
        <v>48</v>
      </c>
      <c r="B484" t="s">
        <v>49</v>
      </c>
      <c r="C484" t="s">
        <v>10</v>
      </c>
      <c r="D484" s="1">
        <v>45839</v>
      </c>
      <c r="E484">
        <v>26000</v>
      </c>
    </row>
    <row r="485" spans="1:5" x14ac:dyDescent="0.35">
      <c r="A485" t="s">
        <v>24</v>
      </c>
      <c r="B485" t="s">
        <v>45</v>
      </c>
      <c r="C485" t="s">
        <v>50</v>
      </c>
      <c r="D485" s="1">
        <v>45931</v>
      </c>
      <c r="E485">
        <v>22000</v>
      </c>
    </row>
    <row r="486" spans="1:5" x14ac:dyDescent="0.35">
      <c r="A486" t="s">
        <v>5</v>
      </c>
      <c r="B486" t="s">
        <v>6</v>
      </c>
      <c r="C486" t="s">
        <v>50</v>
      </c>
      <c r="D486" s="1">
        <v>45870</v>
      </c>
      <c r="E486">
        <v>19000</v>
      </c>
    </row>
    <row r="487" spans="1:5" x14ac:dyDescent="0.35">
      <c r="A487" t="s">
        <v>11</v>
      </c>
      <c r="B487" t="s">
        <v>59</v>
      </c>
      <c r="C487" t="s">
        <v>65</v>
      </c>
      <c r="D487" s="1">
        <v>45627</v>
      </c>
      <c r="E487">
        <v>39000</v>
      </c>
    </row>
    <row r="488" spans="1:5" x14ac:dyDescent="0.35">
      <c r="A488" t="s">
        <v>41</v>
      </c>
      <c r="B488" t="s">
        <v>42</v>
      </c>
      <c r="C488" t="s">
        <v>13</v>
      </c>
      <c r="D488" s="1">
        <v>45717</v>
      </c>
      <c r="E488">
        <v>22000</v>
      </c>
    </row>
    <row r="489" spans="1:5" x14ac:dyDescent="0.35">
      <c r="A489" t="s">
        <v>60</v>
      </c>
      <c r="B489" t="s">
        <v>61</v>
      </c>
      <c r="C489" t="s">
        <v>28</v>
      </c>
      <c r="D489" s="1">
        <v>45962</v>
      </c>
      <c r="E489">
        <v>35000</v>
      </c>
    </row>
    <row r="490" spans="1:5" x14ac:dyDescent="0.35">
      <c r="A490" t="s">
        <v>29</v>
      </c>
      <c r="B490" t="s">
        <v>46</v>
      </c>
      <c r="C490" t="s">
        <v>7</v>
      </c>
      <c r="D490" s="1">
        <v>45809</v>
      </c>
      <c r="E490">
        <v>36000</v>
      </c>
    </row>
    <row r="491" spans="1:5" x14ac:dyDescent="0.35">
      <c r="A491" t="s">
        <v>19</v>
      </c>
      <c r="B491" t="s">
        <v>20</v>
      </c>
      <c r="C491" t="s">
        <v>13</v>
      </c>
      <c r="D491" s="1">
        <v>45778</v>
      </c>
      <c r="E491">
        <v>10000</v>
      </c>
    </row>
    <row r="492" spans="1:5" x14ac:dyDescent="0.35">
      <c r="A492" t="s">
        <v>17</v>
      </c>
      <c r="B492" t="s">
        <v>18</v>
      </c>
      <c r="C492" t="s">
        <v>16</v>
      </c>
      <c r="D492" s="1">
        <v>45839</v>
      </c>
      <c r="E492">
        <v>90000</v>
      </c>
    </row>
    <row r="493" spans="1:5" x14ac:dyDescent="0.35">
      <c r="A493" t="s">
        <v>26</v>
      </c>
      <c r="B493" t="s">
        <v>27</v>
      </c>
      <c r="C493" t="s">
        <v>16</v>
      </c>
      <c r="D493" s="1">
        <v>45658</v>
      </c>
      <c r="E493">
        <v>47000</v>
      </c>
    </row>
    <row r="494" spans="1:5" x14ac:dyDescent="0.35">
      <c r="A494" t="s">
        <v>57</v>
      </c>
      <c r="B494" t="s">
        <v>58</v>
      </c>
      <c r="C494" t="s">
        <v>10</v>
      </c>
      <c r="D494" s="1">
        <v>45839</v>
      </c>
      <c r="E494">
        <v>18000</v>
      </c>
    </row>
    <row r="495" spans="1:5" x14ac:dyDescent="0.35">
      <c r="A495" t="s">
        <v>33</v>
      </c>
      <c r="B495" t="s">
        <v>34</v>
      </c>
      <c r="C495" t="s">
        <v>28</v>
      </c>
      <c r="D495" s="1">
        <v>45962</v>
      </c>
      <c r="E495">
        <v>66000</v>
      </c>
    </row>
    <row r="496" spans="1:5" x14ac:dyDescent="0.35">
      <c r="A496" t="s">
        <v>66</v>
      </c>
      <c r="B496" t="s">
        <v>67</v>
      </c>
      <c r="C496" t="s">
        <v>13</v>
      </c>
      <c r="D496" s="1">
        <v>45870</v>
      </c>
      <c r="E496">
        <v>19000</v>
      </c>
    </row>
    <row r="497" spans="1:5" x14ac:dyDescent="0.35">
      <c r="A497" t="s">
        <v>53</v>
      </c>
      <c r="B497" t="s">
        <v>103</v>
      </c>
      <c r="C497" t="s">
        <v>16</v>
      </c>
      <c r="D497" s="1">
        <v>45748</v>
      </c>
      <c r="E497">
        <v>63000</v>
      </c>
    </row>
    <row r="498" spans="1:5" x14ac:dyDescent="0.35">
      <c r="A498" t="s">
        <v>48</v>
      </c>
      <c r="B498" t="s">
        <v>49</v>
      </c>
      <c r="C498" t="s">
        <v>28</v>
      </c>
      <c r="D498" s="1">
        <v>45809</v>
      </c>
      <c r="E498">
        <v>112000</v>
      </c>
    </row>
    <row r="499" spans="1:5" x14ac:dyDescent="0.35">
      <c r="A499" t="s">
        <v>72</v>
      </c>
      <c r="B499" t="s">
        <v>73</v>
      </c>
      <c r="C499" t="s">
        <v>21</v>
      </c>
      <c r="D499" s="1">
        <v>45962</v>
      </c>
      <c r="E499">
        <v>16000</v>
      </c>
    </row>
    <row r="500" spans="1:5" x14ac:dyDescent="0.35">
      <c r="A500" t="s">
        <v>22</v>
      </c>
      <c r="B500" t="s">
        <v>23</v>
      </c>
      <c r="C500" t="s">
        <v>7</v>
      </c>
      <c r="D500" s="1">
        <v>45992</v>
      </c>
      <c r="E500">
        <v>15000</v>
      </c>
    </row>
    <row r="501" spans="1:5" x14ac:dyDescent="0.35">
      <c r="A501" t="s">
        <v>41</v>
      </c>
      <c r="B501" t="s">
        <v>42</v>
      </c>
      <c r="C501" t="s">
        <v>7</v>
      </c>
      <c r="D501" s="1">
        <v>45658</v>
      </c>
      <c r="E501">
        <v>17000</v>
      </c>
    </row>
    <row r="502" spans="1:5" x14ac:dyDescent="0.35">
      <c r="A502" t="s">
        <v>11</v>
      </c>
      <c r="B502" t="s">
        <v>59</v>
      </c>
      <c r="C502" t="s">
        <v>21</v>
      </c>
      <c r="D502" s="1">
        <v>45689</v>
      </c>
      <c r="E502">
        <v>24000</v>
      </c>
    </row>
    <row r="503" spans="1:5" x14ac:dyDescent="0.35">
      <c r="A503" t="s">
        <v>60</v>
      </c>
      <c r="B503" t="s">
        <v>61</v>
      </c>
      <c r="C503" t="s">
        <v>28</v>
      </c>
      <c r="D503" s="1">
        <v>45689</v>
      </c>
      <c r="E503">
        <v>35000</v>
      </c>
    </row>
    <row r="504" spans="1:5" x14ac:dyDescent="0.35">
      <c r="A504" t="s">
        <v>5</v>
      </c>
      <c r="B504" t="s">
        <v>6</v>
      </c>
      <c r="C504" t="s">
        <v>10</v>
      </c>
      <c r="D504" s="1">
        <v>45717</v>
      </c>
      <c r="E504">
        <v>24000</v>
      </c>
    </row>
    <row r="505" spans="1:5" x14ac:dyDescent="0.35">
      <c r="A505" t="s">
        <v>43</v>
      </c>
      <c r="B505" t="s">
        <v>44</v>
      </c>
      <c r="C505" t="s">
        <v>50</v>
      </c>
      <c r="D505" s="1">
        <v>45931</v>
      </c>
      <c r="E505">
        <v>27000</v>
      </c>
    </row>
    <row r="506" spans="1:5" x14ac:dyDescent="0.35">
      <c r="A506" t="s">
        <v>78</v>
      </c>
      <c r="B506" t="s">
        <v>79</v>
      </c>
      <c r="C506" t="s">
        <v>28</v>
      </c>
      <c r="D506" s="1">
        <v>45992</v>
      </c>
      <c r="E506">
        <v>49000</v>
      </c>
    </row>
    <row r="507" spans="1:5" x14ac:dyDescent="0.35">
      <c r="A507" t="s">
        <v>31</v>
      </c>
      <c r="B507" t="s">
        <v>32</v>
      </c>
      <c r="C507" t="s">
        <v>16</v>
      </c>
      <c r="D507" s="1">
        <v>45627</v>
      </c>
      <c r="E507">
        <v>77000</v>
      </c>
    </row>
    <row r="508" spans="1:5" x14ac:dyDescent="0.35">
      <c r="A508" t="s">
        <v>33</v>
      </c>
      <c r="B508" t="s">
        <v>34</v>
      </c>
      <c r="C508" t="s">
        <v>28</v>
      </c>
      <c r="D508" s="1">
        <v>45870</v>
      </c>
      <c r="E508">
        <v>66000</v>
      </c>
    </row>
    <row r="509" spans="1:5" x14ac:dyDescent="0.35">
      <c r="A509" t="s">
        <v>14</v>
      </c>
      <c r="B509" t="s">
        <v>15</v>
      </c>
      <c r="C509" t="s">
        <v>28</v>
      </c>
      <c r="D509" s="1">
        <v>45901</v>
      </c>
      <c r="E509">
        <v>79000</v>
      </c>
    </row>
    <row r="510" spans="1:5" x14ac:dyDescent="0.35">
      <c r="A510" t="s">
        <v>11</v>
      </c>
      <c r="B510" t="s">
        <v>59</v>
      </c>
      <c r="C510" t="s">
        <v>28</v>
      </c>
      <c r="D510" s="1">
        <v>45689</v>
      </c>
      <c r="E510">
        <v>118000</v>
      </c>
    </row>
    <row r="511" spans="1:5" x14ac:dyDescent="0.35">
      <c r="A511" t="s">
        <v>5</v>
      </c>
      <c r="B511" t="s">
        <v>6</v>
      </c>
      <c r="C511" t="s">
        <v>21</v>
      </c>
      <c r="D511" s="1">
        <v>45689</v>
      </c>
      <c r="E511">
        <v>19000</v>
      </c>
    </row>
    <row r="512" spans="1:5" x14ac:dyDescent="0.35">
      <c r="A512" t="s">
        <v>53</v>
      </c>
      <c r="B512" t="s">
        <v>54</v>
      </c>
      <c r="C512" t="s">
        <v>16</v>
      </c>
      <c r="D512" s="1">
        <v>45809</v>
      </c>
      <c r="E512">
        <v>63000</v>
      </c>
    </row>
    <row r="513" spans="1:5" x14ac:dyDescent="0.35">
      <c r="A513" t="s">
        <v>70</v>
      </c>
      <c r="B513" t="s">
        <v>106</v>
      </c>
      <c r="C513" t="s">
        <v>28</v>
      </c>
      <c r="D513" s="1">
        <v>45870</v>
      </c>
      <c r="E513">
        <v>85000</v>
      </c>
    </row>
    <row r="514" spans="1:5" x14ac:dyDescent="0.35">
      <c r="A514" t="s">
        <v>57</v>
      </c>
      <c r="B514" t="s">
        <v>58</v>
      </c>
      <c r="C514" t="s">
        <v>10</v>
      </c>
      <c r="D514" s="1">
        <v>45870</v>
      </c>
      <c r="E514">
        <v>18000</v>
      </c>
    </row>
    <row r="515" spans="1:5" x14ac:dyDescent="0.35">
      <c r="A515" t="s">
        <v>48</v>
      </c>
      <c r="B515" t="s">
        <v>49</v>
      </c>
      <c r="C515" t="s">
        <v>7</v>
      </c>
      <c r="D515" s="1">
        <v>45689</v>
      </c>
      <c r="E515">
        <v>26000</v>
      </c>
    </row>
    <row r="516" spans="1:5" x14ac:dyDescent="0.35">
      <c r="A516" t="s">
        <v>43</v>
      </c>
      <c r="B516" t="s">
        <v>44</v>
      </c>
      <c r="C516" t="s">
        <v>50</v>
      </c>
      <c r="D516" s="1">
        <v>45778</v>
      </c>
      <c r="E516">
        <v>27000</v>
      </c>
    </row>
    <row r="517" spans="1:5" x14ac:dyDescent="0.35">
      <c r="A517" t="s">
        <v>17</v>
      </c>
      <c r="B517" t="s">
        <v>18</v>
      </c>
      <c r="C517" t="s">
        <v>10</v>
      </c>
      <c r="D517" s="1">
        <v>45931</v>
      </c>
      <c r="E517">
        <v>45000</v>
      </c>
    </row>
    <row r="518" spans="1:5" x14ac:dyDescent="0.35">
      <c r="A518" t="s">
        <v>60</v>
      </c>
      <c r="B518" t="s">
        <v>76</v>
      </c>
      <c r="C518" t="s">
        <v>10</v>
      </c>
      <c r="D518" s="1">
        <v>45778</v>
      </c>
      <c r="E518">
        <v>23000</v>
      </c>
    </row>
    <row r="519" spans="1:5" x14ac:dyDescent="0.35">
      <c r="A519" t="s">
        <v>24</v>
      </c>
      <c r="B519" t="s">
        <v>45</v>
      </c>
      <c r="C519" t="s">
        <v>28</v>
      </c>
      <c r="D519" s="1">
        <v>45992</v>
      </c>
      <c r="E519">
        <v>100000</v>
      </c>
    </row>
    <row r="520" spans="1:5" x14ac:dyDescent="0.35">
      <c r="A520" t="s">
        <v>39</v>
      </c>
      <c r="B520" t="s">
        <v>40</v>
      </c>
      <c r="C520" t="s">
        <v>16</v>
      </c>
      <c r="D520" s="1">
        <v>45717</v>
      </c>
      <c r="E520">
        <v>60000</v>
      </c>
    </row>
    <row r="521" spans="1:5" x14ac:dyDescent="0.35">
      <c r="A521" t="s">
        <v>43</v>
      </c>
      <c r="B521" t="s">
        <v>44</v>
      </c>
      <c r="C521" t="s">
        <v>21</v>
      </c>
      <c r="D521" s="1">
        <v>45901</v>
      </c>
      <c r="E521">
        <v>27000</v>
      </c>
    </row>
    <row r="522" spans="1:5" x14ac:dyDescent="0.35">
      <c r="A522" t="s">
        <v>24</v>
      </c>
      <c r="B522" t="s">
        <v>45</v>
      </c>
      <c r="C522" t="s">
        <v>21</v>
      </c>
      <c r="D522" s="1">
        <v>45962</v>
      </c>
      <c r="E522">
        <v>22000</v>
      </c>
    </row>
    <row r="523" spans="1:5" x14ac:dyDescent="0.35">
      <c r="A523" t="s">
        <v>11</v>
      </c>
      <c r="B523" t="s">
        <v>59</v>
      </c>
      <c r="C523" t="s">
        <v>13</v>
      </c>
      <c r="D523" s="1">
        <v>45962</v>
      </c>
      <c r="E523" t="s">
        <v>114</v>
      </c>
    </row>
    <row r="524" spans="1:5" x14ac:dyDescent="0.35">
      <c r="A524" t="s">
        <v>43</v>
      </c>
      <c r="B524" t="s">
        <v>44</v>
      </c>
      <c r="C524" t="s">
        <v>10</v>
      </c>
      <c r="D524" s="1">
        <v>45627</v>
      </c>
      <c r="E524">
        <v>18000</v>
      </c>
    </row>
    <row r="525" spans="1:5" x14ac:dyDescent="0.35">
      <c r="A525" t="s">
        <v>22</v>
      </c>
      <c r="B525" t="s">
        <v>23</v>
      </c>
      <c r="C525" t="s">
        <v>16</v>
      </c>
      <c r="D525" s="1">
        <v>45931</v>
      </c>
      <c r="E525">
        <v>132000</v>
      </c>
    </row>
    <row r="526" spans="1:5" x14ac:dyDescent="0.35">
      <c r="A526" t="s">
        <v>72</v>
      </c>
      <c r="B526" t="s">
        <v>73</v>
      </c>
      <c r="C526" t="s">
        <v>65</v>
      </c>
      <c r="D526" s="1">
        <v>45717</v>
      </c>
      <c r="E526">
        <v>27000</v>
      </c>
    </row>
    <row r="527" spans="1:5" x14ac:dyDescent="0.35">
      <c r="A527" t="s">
        <v>70</v>
      </c>
      <c r="B527" t="s">
        <v>71</v>
      </c>
      <c r="C527" t="s">
        <v>65</v>
      </c>
      <c r="D527" s="1">
        <v>45931</v>
      </c>
      <c r="E527">
        <v>27000</v>
      </c>
    </row>
    <row r="528" spans="1:5" x14ac:dyDescent="0.35">
      <c r="A528" t="s">
        <v>70</v>
      </c>
      <c r="B528" t="s">
        <v>71</v>
      </c>
      <c r="C528" t="s">
        <v>21</v>
      </c>
      <c r="D528" s="1">
        <v>45809</v>
      </c>
      <c r="E528">
        <v>9000</v>
      </c>
    </row>
    <row r="529" spans="1:5" x14ac:dyDescent="0.35">
      <c r="A529" t="s">
        <v>53</v>
      </c>
      <c r="B529" t="s">
        <v>54</v>
      </c>
      <c r="C529" t="s">
        <v>28</v>
      </c>
      <c r="D529" s="1">
        <v>45870</v>
      </c>
      <c r="E529">
        <v>73000</v>
      </c>
    </row>
    <row r="530" spans="1:5" x14ac:dyDescent="0.35">
      <c r="A530" t="s">
        <v>72</v>
      </c>
      <c r="B530" t="s">
        <v>73</v>
      </c>
      <c r="C530" t="s">
        <v>16</v>
      </c>
      <c r="D530" s="1">
        <v>45992</v>
      </c>
      <c r="E530">
        <v>117000</v>
      </c>
    </row>
    <row r="531" spans="1:5" x14ac:dyDescent="0.35">
      <c r="A531" t="s">
        <v>53</v>
      </c>
      <c r="B531" t="s">
        <v>54</v>
      </c>
      <c r="C531" t="s">
        <v>10</v>
      </c>
      <c r="D531" s="1">
        <v>45809</v>
      </c>
      <c r="E531">
        <v>35000</v>
      </c>
    </row>
    <row r="532" spans="1:5" x14ac:dyDescent="0.35">
      <c r="A532" t="s">
        <v>41</v>
      </c>
      <c r="B532" t="s">
        <v>42</v>
      </c>
      <c r="C532" t="s">
        <v>21</v>
      </c>
      <c r="D532" s="1">
        <v>45931</v>
      </c>
      <c r="E532">
        <v>22000</v>
      </c>
    </row>
    <row r="533" spans="1:5" x14ac:dyDescent="0.35">
      <c r="A533" t="s">
        <v>48</v>
      </c>
      <c r="B533" t="s">
        <v>49</v>
      </c>
      <c r="C533" t="s">
        <v>21</v>
      </c>
      <c r="D533" s="1">
        <v>45962</v>
      </c>
      <c r="E533">
        <v>11000</v>
      </c>
    </row>
    <row r="534" spans="1:5" x14ac:dyDescent="0.35">
      <c r="A534" t="s">
        <v>17</v>
      </c>
      <c r="B534" t="s">
        <v>18</v>
      </c>
      <c r="C534" t="s">
        <v>65</v>
      </c>
      <c r="D534" s="1">
        <v>45748</v>
      </c>
      <c r="E534">
        <v>29000</v>
      </c>
    </row>
    <row r="535" spans="1:5" x14ac:dyDescent="0.35">
      <c r="A535" t="s">
        <v>11</v>
      </c>
      <c r="B535" t="s">
        <v>59</v>
      </c>
      <c r="C535" t="s">
        <v>21</v>
      </c>
      <c r="D535" s="1">
        <v>45748</v>
      </c>
      <c r="E535">
        <v>27000</v>
      </c>
    </row>
    <row r="536" spans="1:5" x14ac:dyDescent="0.35">
      <c r="A536" t="s">
        <v>17</v>
      </c>
      <c r="B536" t="s">
        <v>18</v>
      </c>
      <c r="C536" t="s">
        <v>28</v>
      </c>
      <c r="D536" s="1">
        <v>45870</v>
      </c>
      <c r="E536">
        <v>90000</v>
      </c>
    </row>
    <row r="537" spans="1:5" x14ac:dyDescent="0.35">
      <c r="A537" t="s">
        <v>66</v>
      </c>
      <c r="B537" t="s">
        <v>67</v>
      </c>
      <c r="C537" t="s">
        <v>21</v>
      </c>
      <c r="D537" s="1">
        <v>45901</v>
      </c>
      <c r="E537">
        <v>19000</v>
      </c>
    </row>
    <row r="538" spans="1:5" x14ac:dyDescent="0.35">
      <c r="A538" t="s">
        <v>8</v>
      </c>
      <c r="B538" t="s">
        <v>115</v>
      </c>
      <c r="C538" t="s">
        <v>16</v>
      </c>
      <c r="D538" s="1">
        <v>45839</v>
      </c>
      <c r="E538">
        <v>70000</v>
      </c>
    </row>
    <row r="539" spans="1:5" x14ac:dyDescent="0.35">
      <c r="A539" t="s">
        <v>11</v>
      </c>
      <c r="B539" t="s">
        <v>59</v>
      </c>
      <c r="C539" t="s">
        <v>10</v>
      </c>
      <c r="D539" s="1">
        <v>45870</v>
      </c>
      <c r="E539">
        <v>39000</v>
      </c>
    </row>
    <row r="540" spans="1:5" x14ac:dyDescent="0.35">
      <c r="A540" t="s">
        <v>53</v>
      </c>
      <c r="B540" t="s">
        <v>54</v>
      </c>
      <c r="C540" t="s">
        <v>28</v>
      </c>
      <c r="D540" s="1">
        <v>45839</v>
      </c>
      <c r="E540">
        <v>73000</v>
      </c>
    </row>
    <row r="541" spans="1:5" x14ac:dyDescent="0.35">
      <c r="A541" t="s">
        <v>5</v>
      </c>
      <c r="B541" t="s">
        <v>6</v>
      </c>
      <c r="C541" t="s">
        <v>21</v>
      </c>
      <c r="D541" s="1">
        <v>45962</v>
      </c>
      <c r="E541" s="2" t="s">
        <v>116</v>
      </c>
    </row>
    <row r="542" spans="1:5" x14ac:dyDescent="0.35">
      <c r="A542" t="s">
        <v>53</v>
      </c>
      <c r="B542" t="s">
        <v>54</v>
      </c>
      <c r="C542" t="s">
        <v>28</v>
      </c>
      <c r="D542" s="1">
        <v>45931</v>
      </c>
      <c r="E542">
        <v>73000</v>
      </c>
    </row>
    <row r="543" spans="1:5" x14ac:dyDescent="0.35">
      <c r="A543" t="s">
        <v>26</v>
      </c>
      <c r="B543" t="s">
        <v>27</v>
      </c>
      <c r="C543" t="s">
        <v>28</v>
      </c>
      <c r="D543" s="1">
        <v>45689</v>
      </c>
      <c r="E543">
        <v>58000</v>
      </c>
    </row>
    <row r="544" spans="1:5" x14ac:dyDescent="0.35">
      <c r="A544" t="s">
        <v>72</v>
      </c>
      <c r="B544" t="s">
        <v>73</v>
      </c>
      <c r="C544" t="s">
        <v>10</v>
      </c>
      <c r="D544" s="1">
        <v>45962</v>
      </c>
      <c r="E544">
        <v>33000</v>
      </c>
    </row>
    <row r="545" spans="1:5" x14ac:dyDescent="0.35">
      <c r="A545" t="s">
        <v>66</v>
      </c>
      <c r="B545" t="s">
        <v>67</v>
      </c>
      <c r="C545" t="s">
        <v>28</v>
      </c>
      <c r="D545" s="1">
        <v>45992</v>
      </c>
      <c r="E545">
        <v>95000</v>
      </c>
    </row>
    <row r="546" spans="1:5" x14ac:dyDescent="0.35">
      <c r="A546" t="s">
        <v>19</v>
      </c>
      <c r="B546" t="s">
        <v>20</v>
      </c>
      <c r="C546" t="s">
        <v>10</v>
      </c>
      <c r="D546" s="1">
        <v>45962</v>
      </c>
      <c r="E546">
        <v>30000</v>
      </c>
    </row>
    <row r="547" spans="1:5" x14ac:dyDescent="0.35">
      <c r="A547" t="s">
        <v>11</v>
      </c>
      <c r="B547" t="s">
        <v>59</v>
      </c>
      <c r="C547" t="s">
        <v>16</v>
      </c>
      <c r="D547" s="1">
        <v>45992</v>
      </c>
      <c r="E547">
        <v>118000</v>
      </c>
    </row>
    <row r="548" spans="1:5" x14ac:dyDescent="0.35">
      <c r="A548" t="s">
        <v>19</v>
      </c>
      <c r="B548" t="s">
        <v>20</v>
      </c>
      <c r="C548" t="s">
        <v>10</v>
      </c>
      <c r="D548" s="1">
        <v>45870</v>
      </c>
      <c r="E548">
        <v>30000</v>
      </c>
    </row>
    <row r="549" spans="1:5" x14ac:dyDescent="0.35">
      <c r="A549" t="s">
        <v>60</v>
      </c>
      <c r="B549" t="s">
        <v>61</v>
      </c>
      <c r="C549" t="s">
        <v>10</v>
      </c>
      <c r="D549" s="1">
        <v>45931</v>
      </c>
      <c r="E549">
        <v>23000</v>
      </c>
    </row>
    <row r="550" spans="1:5" x14ac:dyDescent="0.35">
      <c r="A550" t="s">
        <v>24</v>
      </c>
      <c r="B550" t="s">
        <v>45</v>
      </c>
      <c r="C550" t="s">
        <v>16</v>
      </c>
      <c r="D550" s="1">
        <v>45658</v>
      </c>
      <c r="E550">
        <v>100000</v>
      </c>
    </row>
    <row r="551" spans="1:5" x14ac:dyDescent="0.35">
      <c r="A551" t="s">
        <v>74</v>
      </c>
      <c r="B551" t="s">
        <v>75</v>
      </c>
      <c r="C551" t="s">
        <v>28</v>
      </c>
      <c r="D551" s="1">
        <v>45931</v>
      </c>
      <c r="E551">
        <v>155000</v>
      </c>
    </row>
    <row r="552" spans="1:5" x14ac:dyDescent="0.35">
      <c r="A552" t="s">
        <v>72</v>
      </c>
      <c r="B552" t="s">
        <v>73</v>
      </c>
      <c r="C552" t="s">
        <v>10</v>
      </c>
      <c r="D552" s="1">
        <v>45689</v>
      </c>
      <c r="E552">
        <v>27000</v>
      </c>
    </row>
    <row r="553" spans="1:5" x14ac:dyDescent="0.35">
      <c r="A553" t="s">
        <v>60</v>
      </c>
      <c r="B553" t="s">
        <v>61</v>
      </c>
      <c r="C553" t="s">
        <v>10</v>
      </c>
      <c r="D553" s="1">
        <v>45689</v>
      </c>
      <c r="E553">
        <v>23000</v>
      </c>
    </row>
    <row r="554" spans="1:5" x14ac:dyDescent="0.35">
      <c r="A554" t="s">
        <v>19</v>
      </c>
      <c r="B554" t="s">
        <v>20</v>
      </c>
      <c r="C554" t="s">
        <v>10</v>
      </c>
      <c r="D554" s="1">
        <v>45839</v>
      </c>
      <c r="E554">
        <v>30000</v>
      </c>
    </row>
    <row r="555" spans="1:5" x14ac:dyDescent="0.35">
      <c r="A555" t="s">
        <v>57</v>
      </c>
      <c r="B555" t="s">
        <v>58</v>
      </c>
      <c r="C555" t="s">
        <v>10</v>
      </c>
      <c r="D555" s="1">
        <v>45931</v>
      </c>
      <c r="E555">
        <v>18000</v>
      </c>
    </row>
    <row r="556" spans="1:5" x14ac:dyDescent="0.35">
      <c r="A556" t="s">
        <v>8</v>
      </c>
      <c r="B556" t="s">
        <v>9</v>
      </c>
      <c r="C556" t="s">
        <v>28</v>
      </c>
      <c r="D556" s="1">
        <v>45962</v>
      </c>
      <c r="E556">
        <v>70000</v>
      </c>
    </row>
    <row r="557" spans="1:5" x14ac:dyDescent="0.35">
      <c r="A557" t="s">
        <v>39</v>
      </c>
      <c r="B557" t="s">
        <v>40</v>
      </c>
      <c r="C557" t="s">
        <v>21</v>
      </c>
      <c r="D557" s="1">
        <v>45992</v>
      </c>
      <c r="E557">
        <v>19000</v>
      </c>
    </row>
    <row r="558" spans="1:5" x14ac:dyDescent="0.35">
      <c r="A558" t="s">
        <v>37</v>
      </c>
      <c r="B558" t="s">
        <v>38</v>
      </c>
      <c r="C558" t="s">
        <v>65</v>
      </c>
      <c r="D558" s="1">
        <v>45931</v>
      </c>
      <c r="E558">
        <v>19000</v>
      </c>
    </row>
    <row r="559" spans="1:5" x14ac:dyDescent="0.35">
      <c r="A559" t="s">
        <v>29</v>
      </c>
      <c r="B559" t="s">
        <v>46</v>
      </c>
      <c r="C559" t="s">
        <v>10</v>
      </c>
      <c r="D559" s="1">
        <v>45901</v>
      </c>
      <c r="E559">
        <v>36000</v>
      </c>
    </row>
    <row r="560" spans="1:5" x14ac:dyDescent="0.35">
      <c r="A560" t="s">
        <v>55</v>
      </c>
      <c r="B560" t="s">
        <v>56</v>
      </c>
      <c r="C560" t="s">
        <v>16</v>
      </c>
      <c r="D560" s="1">
        <v>45992</v>
      </c>
      <c r="E560">
        <v>87000</v>
      </c>
    </row>
    <row r="561" spans="1:5" x14ac:dyDescent="0.35">
      <c r="A561" t="s">
        <v>72</v>
      </c>
      <c r="B561" t="s">
        <v>73</v>
      </c>
      <c r="C561" t="s">
        <v>10</v>
      </c>
      <c r="D561" s="1">
        <v>45992</v>
      </c>
      <c r="E561">
        <v>33000</v>
      </c>
    </row>
    <row r="562" spans="1:5" x14ac:dyDescent="0.35">
      <c r="A562" t="s">
        <v>24</v>
      </c>
      <c r="B562" t="s">
        <v>45</v>
      </c>
      <c r="C562" t="s">
        <v>16</v>
      </c>
      <c r="D562" s="1">
        <v>45839</v>
      </c>
      <c r="E562">
        <v>100000</v>
      </c>
    </row>
    <row r="563" spans="1:5" x14ac:dyDescent="0.35">
      <c r="A563" t="s">
        <v>39</v>
      </c>
      <c r="B563" t="s">
        <v>40</v>
      </c>
      <c r="C563" t="s">
        <v>16</v>
      </c>
      <c r="D563" s="1">
        <v>45658</v>
      </c>
      <c r="E563">
        <v>60000</v>
      </c>
    </row>
    <row r="564" spans="1:5" x14ac:dyDescent="0.35">
      <c r="A564" t="s">
        <v>43</v>
      </c>
      <c r="B564" t="s">
        <v>44</v>
      </c>
      <c r="C564" t="s">
        <v>10</v>
      </c>
      <c r="D564" s="1">
        <v>45931</v>
      </c>
      <c r="E564">
        <v>22000</v>
      </c>
    </row>
    <row r="565" spans="1:5" x14ac:dyDescent="0.35">
      <c r="A565" t="s">
        <v>53</v>
      </c>
      <c r="B565" t="s">
        <v>54</v>
      </c>
      <c r="C565" t="s">
        <v>10</v>
      </c>
      <c r="D565" s="1">
        <v>45717</v>
      </c>
      <c r="E565">
        <v>35000</v>
      </c>
    </row>
    <row r="566" spans="1:5" x14ac:dyDescent="0.35">
      <c r="A566" t="s">
        <v>5</v>
      </c>
      <c r="B566" t="s">
        <v>6</v>
      </c>
      <c r="C566" t="s">
        <v>16</v>
      </c>
      <c r="D566" s="1">
        <v>45627</v>
      </c>
      <c r="E566">
        <v>85000</v>
      </c>
    </row>
    <row r="567" spans="1:5" x14ac:dyDescent="0.35">
      <c r="A567" t="s">
        <v>19</v>
      </c>
      <c r="B567" t="s">
        <v>20</v>
      </c>
      <c r="C567" t="s">
        <v>10</v>
      </c>
      <c r="D567" s="1">
        <v>45717</v>
      </c>
      <c r="E567">
        <v>30000</v>
      </c>
    </row>
    <row r="568" spans="1:5" x14ac:dyDescent="0.35">
      <c r="A568" t="s">
        <v>57</v>
      </c>
      <c r="B568" t="s">
        <v>58</v>
      </c>
      <c r="C568" t="s">
        <v>21</v>
      </c>
      <c r="D568" s="1">
        <v>45901</v>
      </c>
      <c r="E568">
        <v>20000</v>
      </c>
    </row>
    <row r="569" spans="1:5" x14ac:dyDescent="0.35">
      <c r="A569" t="s">
        <v>24</v>
      </c>
      <c r="B569" t="s">
        <v>25</v>
      </c>
      <c r="C569" t="s">
        <v>28</v>
      </c>
      <c r="D569" s="1">
        <v>45870</v>
      </c>
      <c r="E569">
        <v>100000</v>
      </c>
    </row>
    <row r="570" spans="1:5" x14ac:dyDescent="0.35">
      <c r="A570" t="s">
        <v>5</v>
      </c>
      <c r="B570" t="s">
        <v>6</v>
      </c>
      <c r="C570" t="s">
        <v>28</v>
      </c>
      <c r="D570" s="1">
        <v>45748</v>
      </c>
      <c r="E570">
        <v>85000</v>
      </c>
    </row>
    <row r="571" spans="1:5" x14ac:dyDescent="0.35">
      <c r="A571" t="s">
        <v>33</v>
      </c>
      <c r="B571" t="s">
        <v>34</v>
      </c>
      <c r="C571" t="s">
        <v>10</v>
      </c>
      <c r="D571" s="1">
        <v>45870</v>
      </c>
      <c r="E571">
        <v>17000</v>
      </c>
    </row>
    <row r="572" spans="1:5" x14ac:dyDescent="0.35">
      <c r="A572" t="s">
        <v>66</v>
      </c>
      <c r="B572" t="s">
        <v>67</v>
      </c>
      <c r="C572" t="s">
        <v>65</v>
      </c>
      <c r="D572" s="1">
        <v>45901</v>
      </c>
      <c r="E572">
        <v>19000</v>
      </c>
    </row>
    <row r="573" spans="1:5" x14ac:dyDescent="0.35">
      <c r="A573" t="s">
        <v>8</v>
      </c>
      <c r="B573" t="s">
        <v>9</v>
      </c>
      <c r="C573" t="s">
        <v>13</v>
      </c>
      <c r="D573" s="1">
        <v>45962</v>
      </c>
      <c r="E573">
        <v>17000</v>
      </c>
    </row>
    <row r="574" spans="1:5" x14ac:dyDescent="0.35">
      <c r="A574" t="s">
        <v>60</v>
      </c>
      <c r="B574" t="s">
        <v>61</v>
      </c>
      <c r="C574" t="s">
        <v>50</v>
      </c>
      <c r="D574" s="1">
        <v>45992</v>
      </c>
      <c r="E574">
        <v>18000</v>
      </c>
    </row>
    <row r="575" spans="1:5" x14ac:dyDescent="0.35">
      <c r="A575" t="s">
        <v>17</v>
      </c>
      <c r="B575" t="s">
        <v>18</v>
      </c>
      <c r="C575" t="s">
        <v>10</v>
      </c>
      <c r="D575" s="1">
        <v>45778</v>
      </c>
      <c r="E575">
        <v>29000</v>
      </c>
    </row>
    <row r="576" spans="1:5" x14ac:dyDescent="0.35">
      <c r="A576" t="s">
        <v>41</v>
      </c>
      <c r="B576" t="s">
        <v>42</v>
      </c>
      <c r="C576" t="s">
        <v>21</v>
      </c>
      <c r="D576" s="1">
        <v>45748</v>
      </c>
      <c r="E576">
        <v>22000</v>
      </c>
    </row>
    <row r="577" spans="1:5" x14ac:dyDescent="0.35">
      <c r="A577" t="s">
        <v>19</v>
      </c>
      <c r="B577" t="s">
        <v>20</v>
      </c>
      <c r="C577" t="s">
        <v>16</v>
      </c>
      <c r="D577" s="1">
        <v>45717</v>
      </c>
      <c r="E577">
        <v>79000</v>
      </c>
    </row>
    <row r="578" spans="1:5" x14ac:dyDescent="0.35">
      <c r="A578" t="s">
        <v>66</v>
      </c>
      <c r="B578" t="s">
        <v>67</v>
      </c>
      <c r="C578" t="s">
        <v>28</v>
      </c>
      <c r="D578" s="1">
        <v>45901</v>
      </c>
      <c r="E578">
        <v>95000</v>
      </c>
    </row>
    <row r="579" spans="1:5" x14ac:dyDescent="0.35">
      <c r="A579" t="s">
        <v>111</v>
      </c>
      <c r="B579" t="s">
        <v>112</v>
      </c>
      <c r="C579" t="s">
        <v>28</v>
      </c>
      <c r="D579" s="1">
        <v>45992</v>
      </c>
      <c r="E579">
        <v>72000</v>
      </c>
    </row>
    <row r="580" spans="1:5" x14ac:dyDescent="0.35">
      <c r="A580" t="s">
        <v>60</v>
      </c>
      <c r="B580" t="s">
        <v>61</v>
      </c>
      <c r="C580" t="s">
        <v>28</v>
      </c>
      <c r="D580" s="1">
        <v>45809</v>
      </c>
      <c r="E580">
        <v>35000</v>
      </c>
    </row>
    <row r="581" spans="1:5" x14ac:dyDescent="0.35">
      <c r="A581" t="s">
        <v>24</v>
      </c>
      <c r="B581" t="s">
        <v>45</v>
      </c>
      <c r="C581" t="s">
        <v>10</v>
      </c>
      <c r="D581" s="1">
        <v>45870</v>
      </c>
      <c r="E581">
        <v>38000</v>
      </c>
    </row>
    <row r="582" spans="1:5" x14ac:dyDescent="0.35">
      <c r="A582" t="s">
        <v>43</v>
      </c>
      <c r="B582" t="s">
        <v>44</v>
      </c>
      <c r="C582" t="s">
        <v>16</v>
      </c>
      <c r="D582" s="1">
        <v>45992</v>
      </c>
      <c r="E582">
        <v>70000</v>
      </c>
    </row>
    <row r="583" spans="1:5" x14ac:dyDescent="0.35">
      <c r="A583" t="s">
        <v>22</v>
      </c>
      <c r="B583" t="s">
        <v>23</v>
      </c>
      <c r="C583" t="s">
        <v>28</v>
      </c>
      <c r="D583" s="1">
        <v>45627</v>
      </c>
      <c r="E583">
        <v>111000</v>
      </c>
    </row>
    <row r="584" spans="1:5" x14ac:dyDescent="0.35">
      <c r="A584" t="s">
        <v>24</v>
      </c>
      <c r="B584" t="s">
        <v>45</v>
      </c>
      <c r="C584" t="s">
        <v>10</v>
      </c>
      <c r="D584" s="1">
        <v>45717</v>
      </c>
      <c r="E584">
        <v>38000</v>
      </c>
    </row>
    <row r="585" spans="1:5" x14ac:dyDescent="0.35">
      <c r="A585" t="s">
        <v>5</v>
      </c>
      <c r="B585" t="s">
        <v>6</v>
      </c>
      <c r="C585" t="s">
        <v>21</v>
      </c>
      <c r="D585" s="1">
        <v>45931</v>
      </c>
      <c r="E585">
        <v>19000</v>
      </c>
    </row>
    <row r="586" spans="1:5" x14ac:dyDescent="0.35">
      <c r="A586" t="s">
        <v>33</v>
      </c>
      <c r="B586" t="s">
        <v>34</v>
      </c>
      <c r="C586" t="s">
        <v>21</v>
      </c>
      <c r="D586" s="1">
        <v>45901</v>
      </c>
      <c r="E586">
        <v>11000</v>
      </c>
    </row>
    <row r="587" spans="1:5" x14ac:dyDescent="0.35">
      <c r="A587" t="s">
        <v>41</v>
      </c>
      <c r="B587" t="s">
        <v>42</v>
      </c>
      <c r="C587" t="s">
        <v>65</v>
      </c>
      <c r="D587" s="1">
        <v>45870</v>
      </c>
      <c r="E587">
        <v>17000</v>
      </c>
    </row>
    <row r="588" spans="1:5" x14ac:dyDescent="0.35">
      <c r="A588" t="s">
        <v>8</v>
      </c>
      <c r="B588" t="s">
        <v>9</v>
      </c>
      <c r="C588" t="s">
        <v>65</v>
      </c>
      <c r="D588" s="1">
        <v>45778</v>
      </c>
      <c r="E588">
        <v>35000</v>
      </c>
    </row>
    <row r="589" spans="1:5" x14ac:dyDescent="0.35">
      <c r="A589" t="s">
        <v>70</v>
      </c>
      <c r="B589" t="s">
        <v>71</v>
      </c>
      <c r="C589" t="s">
        <v>28</v>
      </c>
      <c r="D589" s="1">
        <v>45901</v>
      </c>
      <c r="E589">
        <v>85000</v>
      </c>
    </row>
    <row r="590" spans="1:5" x14ac:dyDescent="0.35">
      <c r="A590" t="s">
        <v>33</v>
      </c>
      <c r="B590" t="s">
        <v>34</v>
      </c>
      <c r="C590" t="s">
        <v>13</v>
      </c>
      <c r="D590" s="1">
        <v>45931</v>
      </c>
      <c r="E590">
        <v>11000</v>
      </c>
    </row>
    <row r="591" spans="1:5" x14ac:dyDescent="0.35">
      <c r="A591" t="s">
        <v>62</v>
      </c>
      <c r="B591" t="s">
        <v>63</v>
      </c>
      <c r="C591" t="s">
        <v>28</v>
      </c>
      <c r="D591" s="1">
        <v>45839</v>
      </c>
      <c r="E591">
        <v>46000</v>
      </c>
    </row>
    <row r="592" spans="1:5" x14ac:dyDescent="0.35">
      <c r="A592" t="s">
        <v>39</v>
      </c>
      <c r="B592" t="s">
        <v>40</v>
      </c>
      <c r="C592" t="s">
        <v>10</v>
      </c>
      <c r="D592" s="1">
        <v>45778</v>
      </c>
      <c r="E592">
        <v>26000</v>
      </c>
    </row>
    <row r="593" spans="1:5" x14ac:dyDescent="0.35">
      <c r="A593" t="s">
        <v>22</v>
      </c>
      <c r="B593" t="s">
        <v>23</v>
      </c>
      <c r="C593" t="s">
        <v>65</v>
      </c>
      <c r="D593" s="1">
        <v>45962</v>
      </c>
      <c r="E593">
        <v>15000</v>
      </c>
    </row>
    <row r="594" spans="1:5" x14ac:dyDescent="0.35">
      <c r="A594" t="s">
        <v>53</v>
      </c>
      <c r="B594" t="s">
        <v>54</v>
      </c>
      <c r="C594" t="s">
        <v>65</v>
      </c>
      <c r="D594" s="1">
        <v>45962</v>
      </c>
      <c r="E594">
        <v>40000</v>
      </c>
    </row>
    <row r="595" spans="1:5" x14ac:dyDescent="0.35">
      <c r="A595" t="s">
        <v>29</v>
      </c>
      <c r="B595" t="s">
        <v>46</v>
      </c>
      <c r="C595" t="s">
        <v>10</v>
      </c>
      <c r="D595" s="1">
        <v>45931</v>
      </c>
      <c r="E595">
        <v>36000</v>
      </c>
    </row>
    <row r="596" spans="1:5" x14ac:dyDescent="0.35">
      <c r="A596" t="s">
        <v>41</v>
      </c>
      <c r="B596" t="s">
        <v>42</v>
      </c>
      <c r="C596" t="s">
        <v>16</v>
      </c>
      <c r="D596" s="1">
        <v>45748</v>
      </c>
      <c r="E596">
        <v>102000</v>
      </c>
    </row>
    <row r="597" spans="1:5" x14ac:dyDescent="0.35">
      <c r="A597" t="s">
        <v>11</v>
      </c>
      <c r="B597" t="s">
        <v>59</v>
      </c>
      <c r="C597" t="s">
        <v>50</v>
      </c>
      <c r="D597" s="1">
        <v>45809</v>
      </c>
      <c r="E597">
        <v>27000</v>
      </c>
    </row>
    <row r="598" spans="1:5" x14ac:dyDescent="0.35">
      <c r="A598" t="s">
        <v>72</v>
      </c>
      <c r="B598" t="s">
        <v>73</v>
      </c>
      <c r="C598" t="s">
        <v>7</v>
      </c>
      <c r="D598" s="1">
        <v>45627</v>
      </c>
      <c r="E598">
        <v>27000</v>
      </c>
    </row>
    <row r="599" spans="1:5" x14ac:dyDescent="0.35">
      <c r="A599" t="s">
        <v>5</v>
      </c>
      <c r="B599" t="s">
        <v>6</v>
      </c>
      <c r="C599" t="s">
        <v>10</v>
      </c>
      <c r="D599" s="1">
        <v>45839</v>
      </c>
      <c r="E599">
        <v>24000</v>
      </c>
    </row>
    <row r="600" spans="1:5" x14ac:dyDescent="0.35">
      <c r="A600" t="s">
        <v>37</v>
      </c>
      <c r="B600" t="s">
        <v>38</v>
      </c>
      <c r="C600" t="s">
        <v>10</v>
      </c>
      <c r="D600" s="1">
        <v>45778</v>
      </c>
      <c r="E600">
        <v>15000</v>
      </c>
    </row>
    <row r="601" spans="1:5" x14ac:dyDescent="0.35">
      <c r="A601" t="s">
        <v>8</v>
      </c>
      <c r="B601" t="s">
        <v>9</v>
      </c>
      <c r="C601" t="s">
        <v>16</v>
      </c>
      <c r="D601" s="1">
        <v>45778</v>
      </c>
      <c r="E601">
        <v>70000</v>
      </c>
    </row>
    <row r="602" spans="1:5" x14ac:dyDescent="0.35">
      <c r="A602" t="s">
        <v>17</v>
      </c>
      <c r="B602" t="s">
        <v>18</v>
      </c>
      <c r="C602" t="s">
        <v>13</v>
      </c>
      <c r="D602" s="1">
        <v>45962</v>
      </c>
      <c r="E602" s="2" t="s">
        <v>117</v>
      </c>
    </row>
    <row r="603" spans="1:5" x14ac:dyDescent="0.35">
      <c r="A603" t="s">
        <v>11</v>
      </c>
      <c r="B603" t="s">
        <v>59</v>
      </c>
      <c r="C603" t="s">
        <v>10</v>
      </c>
      <c r="D603" s="1">
        <v>45962</v>
      </c>
      <c r="E603">
        <v>39000</v>
      </c>
    </row>
    <row r="604" spans="1:5" x14ac:dyDescent="0.35">
      <c r="A604" t="s">
        <v>43</v>
      </c>
      <c r="B604" t="s">
        <v>96</v>
      </c>
      <c r="C604" t="s">
        <v>28</v>
      </c>
      <c r="D604" s="1">
        <v>45689</v>
      </c>
      <c r="E604">
        <v>70000</v>
      </c>
    </row>
    <row r="605" spans="1:5" x14ac:dyDescent="0.35">
      <c r="A605" t="s">
        <v>33</v>
      </c>
      <c r="B605" t="s">
        <v>34</v>
      </c>
      <c r="C605" t="s">
        <v>50</v>
      </c>
      <c r="D605" s="1">
        <v>45992</v>
      </c>
      <c r="E605">
        <v>11000</v>
      </c>
    </row>
    <row r="606" spans="1:5" x14ac:dyDescent="0.35">
      <c r="A606" t="s">
        <v>51</v>
      </c>
      <c r="B606" t="s">
        <v>118</v>
      </c>
      <c r="C606" t="s">
        <v>50</v>
      </c>
      <c r="D606" s="1">
        <v>45658</v>
      </c>
      <c r="E606">
        <v>21000</v>
      </c>
    </row>
    <row r="607" spans="1:5" x14ac:dyDescent="0.35">
      <c r="A607" t="s">
        <v>22</v>
      </c>
      <c r="B607" t="s">
        <v>23</v>
      </c>
      <c r="C607" t="s">
        <v>16</v>
      </c>
      <c r="D607" s="1">
        <v>45962</v>
      </c>
      <c r="E607">
        <v>132000</v>
      </c>
    </row>
    <row r="608" spans="1:5" x14ac:dyDescent="0.35">
      <c r="A608" t="s">
        <v>89</v>
      </c>
      <c r="B608" t="s">
        <v>90</v>
      </c>
      <c r="C608" t="s">
        <v>21</v>
      </c>
      <c r="D608" s="1">
        <v>45992</v>
      </c>
      <c r="E608">
        <v>19000</v>
      </c>
    </row>
    <row r="609" spans="1:5" x14ac:dyDescent="0.35">
      <c r="A609" t="s">
        <v>48</v>
      </c>
      <c r="B609" t="s">
        <v>119</v>
      </c>
      <c r="C609" t="s">
        <v>65</v>
      </c>
      <c r="D609" s="1">
        <v>45962</v>
      </c>
      <c r="E609">
        <v>26000</v>
      </c>
    </row>
    <row r="610" spans="1:5" x14ac:dyDescent="0.35">
      <c r="A610" t="s">
        <v>62</v>
      </c>
      <c r="B610" t="s">
        <v>63</v>
      </c>
      <c r="C610" t="s">
        <v>28</v>
      </c>
      <c r="D610" s="1">
        <v>45658</v>
      </c>
      <c r="E610">
        <v>62000</v>
      </c>
    </row>
    <row r="611" spans="1:5" x14ac:dyDescent="0.35">
      <c r="A611" t="s">
        <v>41</v>
      </c>
      <c r="B611" t="s">
        <v>120</v>
      </c>
      <c r="C611" t="s">
        <v>28</v>
      </c>
      <c r="D611" s="1">
        <v>45717</v>
      </c>
      <c r="E611">
        <v>102000</v>
      </c>
    </row>
    <row r="612" spans="1:5" x14ac:dyDescent="0.35">
      <c r="A612" t="s">
        <v>31</v>
      </c>
      <c r="B612" t="s">
        <v>32</v>
      </c>
      <c r="C612" t="s">
        <v>28</v>
      </c>
      <c r="D612" s="1">
        <v>45809</v>
      </c>
      <c r="E612">
        <v>77000</v>
      </c>
    </row>
    <row r="613" spans="1:5" x14ac:dyDescent="0.35">
      <c r="A613" t="s">
        <v>68</v>
      </c>
      <c r="B613" t="s">
        <v>69</v>
      </c>
      <c r="C613" t="s">
        <v>28</v>
      </c>
      <c r="D613" s="1">
        <v>45931</v>
      </c>
      <c r="E613" t="s">
        <v>83</v>
      </c>
    </row>
    <row r="614" spans="1:5" x14ac:dyDescent="0.35">
      <c r="A614" t="s">
        <v>89</v>
      </c>
      <c r="B614" t="s">
        <v>90</v>
      </c>
      <c r="C614" t="s">
        <v>13</v>
      </c>
      <c r="D614" s="1">
        <v>45962</v>
      </c>
      <c r="E614">
        <v>19000</v>
      </c>
    </row>
    <row r="615" spans="1:5" x14ac:dyDescent="0.35">
      <c r="A615" t="s">
        <v>39</v>
      </c>
      <c r="B615" t="s">
        <v>40</v>
      </c>
      <c r="C615" t="s">
        <v>10</v>
      </c>
      <c r="D615" s="1">
        <v>45992</v>
      </c>
      <c r="E615">
        <v>31000</v>
      </c>
    </row>
    <row r="616" spans="1:5" x14ac:dyDescent="0.35">
      <c r="A616" t="s">
        <v>33</v>
      </c>
      <c r="B616" t="s">
        <v>34</v>
      </c>
      <c r="C616" t="s">
        <v>10</v>
      </c>
      <c r="D616" s="1">
        <v>45931</v>
      </c>
      <c r="E616">
        <v>17000</v>
      </c>
    </row>
    <row r="617" spans="1:5" x14ac:dyDescent="0.35">
      <c r="A617" t="s">
        <v>78</v>
      </c>
      <c r="B617" t="s">
        <v>79</v>
      </c>
      <c r="C617" t="s">
        <v>28</v>
      </c>
      <c r="D617" s="1">
        <v>45809</v>
      </c>
      <c r="E617">
        <v>49000</v>
      </c>
    </row>
    <row r="618" spans="1:5" x14ac:dyDescent="0.35">
      <c r="A618" t="s">
        <v>17</v>
      </c>
      <c r="B618" t="s">
        <v>18</v>
      </c>
      <c r="C618" t="s">
        <v>50</v>
      </c>
      <c r="D618" s="1">
        <v>45778</v>
      </c>
      <c r="E618">
        <v>10000</v>
      </c>
    </row>
    <row r="619" spans="1:5" x14ac:dyDescent="0.35">
      <c r="A619" t="s">
        <v>41</v>
      </c>
      <c r="B619" t="s">
        <v>42</v>
      </c>
      <c r="C619" t="s">
        <v>16</v>
      </c>
      <c r="D619" s="1">
        <v>45962</v>
      </c>
      <c r="E619">
        <v>102000</v>
      </c>
    </row>
    <row r="620" spans="1:5" x14ac:dyDescent="0.35">
      <c r="A620" t="s">
        <v>72</v>
      </c>
      <c r="B620" t="s">
        <v>73</v>
      </c>
      <c r="C620" t="s">
        <v>28</v>
      </c>
      <c r="D620" s="1">
        <v>45689</v>
      </c>
      <c r="E620">
        <v>117000</v>
      </c>
    </row>
    <row r="621" spans="1:5" x14ac:dyDescent="0.35">
      <c r="A621" t="s">
        <v>66</v>
      </c>
      <c r="B621" t="s">
        <v>67</v>
      </c>
      <c r="C621" t="s">
        <v>65</v>
      </c>
      <c r="D621" s="1">
        <v>45992</v>
      </c>
      <c r="E621">
        <v>19000</v>
      </c>
    </row>
    <row r="622" spans="1:5" x14ac:dyDescent="0.35">
      <c r="A622" t="s">
        <v>60</v>
      </c>
      <c r="B622" t="s">
        <v>61</v>
      </c>
      <c r="C622" t="s">
        <v>21</v>
      </c>
      <c r="D622" s="1">
        <v>45778</v>
      </c>
      <c r="E622">
        <v>18000</v>
      </c>
    </row>
    <row r="623" spans="1:5" x14ac:dyDescent="0.35">
      <c r="A623" t="s">
        <v>11</v>
      </c>
      <c r="B623" t="s">
        <v>59</v>
      </c>
      <c r="C623" t="s">
        <v>21</v>
      </c>
      <c r="D623" s="1">
        <v>45901</v>
      </c>
      <c r="E623">
        <v>27000</v>
      </c>
    </row>
    <row r="624" spans="1:5" x14ac:dyDescent="0.35">
      <c r="A624" t="s">
        <v>74</v>
      </c>
      <c r="B624" t="s">
        <v>121</v>
      </c>
      <c r="C624" t="s">
        <v>28</v>
      </c>
      <c r="D624" s="1">
        <v>45689</v>
      </c>
      <c r="E624">
        <v>120000</v>
      </c>
    </row>
    <row r="625" spans="1:5" x14ac:dyDescent="0.35">
      <c r="A625" t="s">
        <v>5</v>
      </c>
      <c r="B625" t="s">
        <v>6</v>
      </c>
      <c r="C625" t="s">
        <v>21</v>
      </c>
      <c r="D625" s="1">
        <v>45901</v>
      </c>
      <c r="E625">
        <v>19000</v>
      </c>
    </row>
    <row r="626" spans="1:5" x14ac:dyDescent="0.35">
      <c r="A626" t="s">
        <v>62</v>
      </c>
      <c r="B626" t="s">
        <v>63</v>
      </c>
      <c r="C626" t="s">
        <v>28</v>
      </c>
      <c r="D626" s="1">
        <v>45778</v>
      </c>
      <c r="E626">
        <v>62000</v>
      </c>
    </row>
    <row r="627" spans="1:5" x14ac:dyDescent="0.35">
      <c r="A627" t="s">
        <v>72</v>
      </c>
      <c r="B627" t="s">
        <v>73</v>
      </c>
      <c r="C627" t="s">
        <v>21</v>
      </c>
      <c r="D627" s="1">
        <v>45839</v>
      </c>
      <c r="E627">
        <v>16000</v>
      </c>
    </row>
    <row r="628" spans="1:5" x14ac:dyDescent="0.35">
      <c r="A628" t="s">
        <v>11</v>
      </c>
      <c r="B628" t="s">
        <v>59</v>
      </c>
      <c r="C628" t="s">
        <v>10</v>
      </c>
      <c r="D628" s="1">
        <v>45778</v>
      </c>
      <c r="E628">
        <v>39000</v>
      </c>
    </row>
    <row r="629" spans="1:5" x14ac:dyDescent="0.35">
      <c r="A629" t="s">
        <v>57</v>
      </c>
      <c r="B629" t="s">
        <v>58</v>
      </c>
      <c r="C629" t="s">
        <v>21</v>
      </c>
      <c r="D629" s="1">
        <v>45931</v>
      </c>
      <c r="E629">
        <v>20000</v>
      </c>
    </row>
    <row r="630" spans="1:5" x14ac:dyDescent="0.35">
      <c r="A630" t="s">
        <v>11</v>
      </c>
      <c r="B630" t="s">
        <v>59</v>
      </c>
      <c r="C630" t="s">
        <v>7</v>
      </c>
      <c r="D630" s="1">
        <v>45901</v>
      </c>
      <c r="E630">
        <v>39000</v>
      </c>
    </row>
    <row r="631" spans="1:5" x14ac:dyDescent="0.35">
      <c r="A631" t="s">
        <v>89</v>
      </c>
      <c r="B631" t="s">
        <v>90</v>
      </c>
      <c r="C631" t="s">
        <v>28</v>
      </c>
      <c r="D631" s="1">
        <v>45962</v>
      </c>
      <c r="E631">
        <v>71000</v>
      </c>
    </row>
    <row r="632" spans="1:5" x14ac:dyDescent="0.35">
      <c r="A632" t="s">
        <v>72</v>
      </c>
      <c r="B632" t="s">
        <v>73</v>
      </c>
      <c r="C632" t="s">
        <v>28</v>
      </c>
      <c r="D632" s="1">
        <v>45962</v>
      </c>
      <c r="E632">
        <v>117000</v>
      </c>
    </row>
    <row r="633" spans="1:5" x14ac:dyDescent="0.35">
      <c r="A633" t="s">
        <v>60</v>
      </c>
      <c r="B633" t="s">
        <v>61</v>
      </c>
      <c r="C633" t="s">
        <v>28</v>
      </c>
      <c r="D633" s="1">
        <v>45870</v>
      </c>
      <c r="E633">
        <v>35000</v>
      </c>
    </row>
    <row r="634" spans="1:5" x14ac:dyDescent="0.35">
      <c r="A634" t="s">
        <v>11</v>
      </c>
      <c r="B634" t="s">
        <v>59</v>
      </c>
      <c r="C634" t="s">
        <v>28</v>
      </c>
      <c r="D634" s="1">
        <v>45748</v>
      </c>
      <c r="E634">
        <v>118000</v>
      </c>
    </row>
    <row r="635" spans="1:5" x14ac:dyDescent="0.35">
      <c r="A635" t="s">
        <v>17</v>
      </c>
      <c r="B635" t="s">
        <v>18</v>
      </c>
      <c r="C635" t="s">
        <v>10</v>
      </c>
      <c r="D635" s="1">
        <v>45962</v>
      </c>
      <c r="E635" t="s">
        <v>122</v>
      </c>
    </row>
    <row r="636" spans="1:5" x14ac:dyDescent="0.35">
      <c r="A636" t="s">
        <v>26</v>
      </c>
      <c r="B636" t="s">
        <v>27</v>
      </c>
      <c r="C636" t="s">
        <v>16</v>
      </c>
      <c r="D636" s="1">
        <v>45839</v>
      </c>
      <c r="E636">
        <v>72000</v>
      </c>
    </row>
    <row r="637" spans="1:5" x14ac:dyDescent="0.35">
      <c r="A637" t="s">
        <v>78</v>
      </c>
      <c r="B637" t="s">
        <v>79</v>
      </c>
      <c r="C637" t="s">
        <v>28</v>
      </c>
      <c r="D637" s="1">
        <v>45870</v>
      </c>
      <c r="E637">
        <v>49000</v>
      </c>
    </row>
    <row r="638" spans="1:5" x14ac:dyDescent="0.35">
      <c r="A638" t="s">
        <v>11</v>
      </c>
      <c r="B638" t="s">
        <v>59</v>
      </c>
      <c r="C638" t="s">
        <v>28</v>
      </c>
      <c r="D638" s="1">
        <v>45658</v>
      </c>
      <c r="E638">
        <v>118000</v>
      </c>
    </row>
    <row r="639" spans="1:5" x14ac:dyDescent="0.35">
      <c r="A639" t="s">
        <v>51</v>
      </c>
      <c r="B639" t="s">
        <v>52</v>
      </c>
      <c r="C639" t="s">
        <v>28</v>
      </c>
      <c r="D639" s="1">
        <v>45627</v>
      </c>
      <c r="E639">
        <v>38000</v>
      </c>
    </row>
    <row r="640" spans="1:5" x14ac:dyDescent="0.35">
      <c r="A640" t="s">
        <v>26</v>
      </c>
      <c r="B640" t="s">
        <v>27</v>
      </c>
      <c r="C640" t="s">
        <v>28</v>
      </c>
      <c r="D640" s="1">
        <v>45931</v>
      </c>
      <c r="E640">
        <v>72000</v>
      </c>
    </row>
    <row r="641" spans="1:5" x14ac:dyDescent="0.35">
      <c r="A641" t="s">
        <v>11</v>
      </c>
      <c r="B641" t="s">
        <v>59</v>
      </c>
      <c r="C641" t="s">
        <v>13</v>
      </c>
      <c r="D641" s="1">
        <v>45778</v>
      </c>
      <c r="E641">
        <v>27000</v>
      </c>
    </row>
    <row r="642" spans="1:5" x14ac:dyDescent="0.35">
      <c r="A642" t="s">
        <v>60</v>
      </c>
      <c r="B642" t="s">
        <v>61</v>
      </c>
      <c r="C642" t="s">
        <v>16</v>
      </c>
      <c r="D642" s="1">
        <v>45901</v>
      </c>
      <c r="E642">
        <v>35000</v>
      </c>
    </row>
    <row r="643" spans="1:5" x14ac:dyDescent="0.35">
      <c r="A643" t="s">
        <v>70</v>
      </c>
      <c r="B643" t="s">
        <v>71</v>
      </c>
      <c r="C643" t="s">
        <v>28</v>
      </c>
      <c r="D643" s="1">
        <v>45992</v>
      </c>
      <c r="E643">
        <v>85000</v>
      </c>
    </row>
    <row r="644" spans="1:5" x14ac:dyDescent="0.35">
      <c r="A644" t="s">
        <v>39</v>
      </c>
      <c r="B644" t="s">
        <v>40</v>
      </c>
      <c r="C644" t="s">
        <v>21</v>
      </c>
      <c r="D644" s="1">
        <v>45901</v>
      </c>
      <c r="E644">
        <v>19000</v>
      </c>
    </row>
    <row r="645" spans="1:5" x14ac:dyDescent="0.35">
      <c r="A645" t="s">
        <v>26</v>
      </c>
      <c r="B645" t="s">
        <v>27</v>
      </c>
      <c r="C645" t="s">
        <v>16</v>
      </c>
      <c r="D645" s="1">
        <v>45992</v>
      </c>
      <c r="E645">
        <v>72000</v>
      </c>
    </row>
    <row r="646" spans="1:5" x14ac:dyDescent="0.35">
      <c r="A646" t="s">
        <v>60</v>
      </c>
      <c r="B646" t="s">
        <v>61</v>
      </c>
      <c r="C646" t="s">
        <v>50</v>
      </c>
      <c r="D646" s="1">
        <v>45689</v>
      </c>
      <c r="E646">
        <v>18000</v>
      </c>
    </row>
    <row r="647" spans="1:5" x14ac:dyDescent="0.35">
      <c r="A647" t="s">
        <v>91</v>
      </c>
      <c r="B647" t="s">
        <v>92</v>
      </c>
      <c r="C647" t="s">
        <v>16</v>
      </c>
      <c r="D647" s="1">
        <v>45870</v>
      </c>
      <c r="E647">
        <v>105000</v>
      </c>
    </row>
    <row r="648" spans="1:5" x14ac:dyDescent="0.35">
      <c r="A648" t="s">
        <v>60</v>
      </c>
      <c r="B648" t="s">
        <v>61</v>
      </c>
      <c r="C648" t="s">
        <v>50</v>
      </c>
      <c r="D648" s="1">
        <v>45901</v>
      </c>
      <c r="E648">
        <v>18000</v>
      </c>
    </row>
    <row r="649" spans="1:5" x14ac:dyDescent="0.35">
      <c r="A649" t="s">
        <v>78</v>
      </c>
      <c r="B649" t="s">
        <v>79</v>
      </c>
      <c r="C649" t="s">
        <v>28</v>
      </c>
      <c r="D649" s="1">
        <v>45962</v>
      </c>
      <c r="E649">
        <v>49000</v>
      </c>
    </row>
    <row r="650" spans="1:5" x14ac:dyDescent="0.35">
      <c r="A650" t="s">
        <v>17</v>
      </c>
      <c r="B650" t="s">
        <v>18</v>
      </c>
      <c r="C650" t="s">
        <v>28</v>
      </c>
      <c r="D650" s="1">
        <v>45627</v>
      </c>
      <c r="E650">
        <v>90000</v>
      </c>
    </row>
    <row r="651" spans="1:5" x14ac:dyDescent="0.35">
      <c r="A651" t="s">
        <v>19</v>
      </c>
      <c r="B651" t="s">
        <v>20</v>
      </c>
      <c r="C651" t="s">
        <v>10</v>
      </c>
      <c r="D651" s="1">
        <v>45748</v>
      </c>
      <c r="E651">
        <v>30000</v>
      </c>
    </row>
    <row r="652" spans="1:5" x14ac:dyDescent="0.35">
      <c r="A652" t="s">
        <v>17</v>
      </c>
      <c r="B652" t="s">
        <v>18</v>
      </c>
      <c r="C652" t="s">
        <v>28</v>
      </c>
      <c r="D652" s="1">
        <v>45809</v>
      </c>
      <c r="E652">
        <v>90000</v>
      </c>
    </row>
    <row r="653" spans="1:5" x14ac:dyDescent="0.35">
      <c r="A653" t="s">
        <v>87</v>
      </c>
      <c r="B653" t="s">
        <v>88</v>
      </c>
      <c r="C653" t="s">
        <v>28</v>
      </c>
      <c r="D653" s="1">
        <v>45627</v>
      </c>
      <c r="E653">
        <v>73000</v>
      </c>
    </row>
    <row r="654" spans="1:5" x14ac:dyDescent="0.35">
      <c r="A654" t="s">
        <v>72</v>
      </c>
      <c r="B654" t="s">
        <v>73</v>
      </c>
      <c r="C654" t="s">
        <v>10</v>
      </c>
      <c r="D654" s="1">
        <v>45748</v>
      </c>
      <c r="E654">
        <v>27000</v>
      </c>
    </row>
    <row r="655" spans="1:5" x14ac:dyDescent="0.35">
      <c r="A655" t="s">
        <v>17</v>
      </c>
      <c r="B655" t="s">
        <v>18</v>
      </c>
      <c r="C655" t="s">
        <v>21</v>
      </c>
      <c r="D655" s="1">
        <v>45748</v>
      </c>
      <c r="E655">
        <v>10000</v>
      </c>
    </row>
    <row r="656" spans="1:5" x14ac:dyDescent="0.35">
      <c r="A656" t="s">
        <v>19</v>
      </c>
      <c r="B656" t="s">
        <v>20</v>
      </c>
      <c r="C656" t="s">
        <v>21</v>
      </c>
      <c r="D656" s="1">
        <v>45689</v>
      </c>
      <c r="E656">
        <v>10000</v>
      </c>
    </row>
    <row r="657" spans="1:5" x14ac:dyDescent="0.35">
      <c r="A657" t="s">
        <v>60</v>
      </c>
      <c r="B657" t="s">
        <v>61</v>
      </c>
      <c r="C657" t="s">
        <v>21</v>
      </c>
      <c r="D657" s="1">
        <v>45748</v>
      </c>
      <c r="E657">
        <v>18000</v>
      </c>
    </row>
    <row r="658" spans="1:5" x14ac:dyDescent="0.35">
      <c r="A658" t="s">
        <v>39</v>
      </c>
      <c r="B658" t="s">
        <v>40</v>
      </c>
      <c r="C658" t="s">
        <v>28</v>
      </c>
      <c r="D658" s="1">
        <v>45901</v>
      </c>
      <c r="E658">
        <v>60000</v>
      </c>
    </row>
    <row r="659" spans="1:5" x14ac:dyDescent="0.35">
      <c r="A659" t="s">
        <v>78</v>
      </c>
      <c r="B659" t="s">
        <v>79</v>
      </c>
      <c r="C659" t="s">
        <v>10</v>
      </c>
      <c r="D659" s="1">
        <v>45962</v>
      </c>
      <c r="E659">
        <v>17000</v>
      </c>
    </row>
    <row r="660" spans="1:5" x14ac:dyDescent="0.35">
      <c r="A660" t="s">
        <v>8</v>
      </c>
      <c r="B660" t="s">
        <v>9</v>
      </c>
      <c r="C660" t="s">
        <v>13</v>
      </c>
      <c r="D660" s="1">
        <v>45992</v>
      </c>
      <c r="E660">
        <v>17000</v>
      </c>
    </row>
    <row r="661" spans="1:5" x14ac:dyDescent="0.35">
      <c r="A661" t="s">
        <v>41</v>
      </c>
      <c r="B661" t="s">
        <v>42</v>
      </c>
      <c r="C661" t="s">
        <v>13</v>
      </c>
      <c r="D661" s="1">
        <v>45839</v>
      </c>
      <c r="E661">
        <v>22000</v>
      </c>
    </row>
    <row r="662" spans="1:5" x14ac:dyDescent="0.35">
      <c r="A662" t="s">
        <v>55</v>
      </c>
      <c r="B662" t="s">
        <v>56</v>
      </c>
      <c r="C662" t="s">
        <v>28</v>
      </c>
      <c r="D662" s="1">
        <v>45962</v>
      </c>
      <c r="E662">
        <v>87000</v>
      </c>
    </row>
    <row r="663" spans="1:5" x14ac:dyDescent="0.35">
      <c r="A663" t="s">
        <v>78</v>
      </c>
      <c r="B663" t="s">
        <v>79</v>
      </c>
      <c r="C663" t="s">
        <v>50</v>
      </c>
      <c r="D663" s="1">
        <v>45962</v>
      </c>
      <c r="E663">
        <v>28000</v>
      </c>
    </row>
    <row r="664" spans="1:5" x14ac:dyDescent="0.35">
      <c r="A664" t="s">
        <v>26</v>
      </c>
      <c r="B664" t="s">
        <v>27</v>
      </c>
      <c r="C664" t="s">
        <v>21</v>
      </c>
      <c r="D664" s="1">
        <v>45901</v>
      </c>
      <c r="E664">
        <v>10000</v>
      </c>
    </row>
    <row r="665" spans="1:5" x14ac:dyDescent="0.35">
      <c r="A665" t="s">
        <v>43</v>
      </c>
      <c r="B665" t="s">
        <v>44</v>
      </c>
      <c r="C665" t="s">
        <v>10</v>
      </c>
      <c r="D665" s="1">
        <v>45870</v>
      </c>
      <c r="E665">
        <v>22000</v>
      </c>
    </row>
    <row r="666" spans="1:5" x14ac:dyDescent="0.35">
      <c r="A666" t="s">
        <v>5</v>
      </c>
      <c r="B666" t="s">
        <v>6</v>
      </c>
      <c r="C666" t="s">
        <v>16</v>
      </c>
      <c r="D666" s="1">
        <v>45717</v>
      </c>
      <c r="E666">
        <v>85000</v>
      </c>
    </row>
    <row r="667" spans="1:5" x14ac:dyDescent="0.35">
      <c r="A667" t="s">
        <v>70</v>
      </c>
      <c r="B667" t="s">
        <v>71</v>
      </c>
      <c r="C667" t="s">
        <v>21</v>
      </c>
      <c r="D667" s="1">
        <v>45658</v>
      </c>
      <c r="E667">
        <v>9000</v>
      </c>
    </row>
    <row r="668" spans="1:5" x14ac:dyDescent="0.35">
      <c r="A668" t="s">
        <v>53</v>
      </c>
      <c r="B668" t="s">
        <v>54</v>
      </c>
      <c r="C668" t="s">
        <v>65</v>
      </c>
      <c r="D668" s="1">
        <v>45870</v>
      </c>
      <c r="E668">
        <v>35000</v>
      </c>
    </row>
    <row r="669" spans="1:5" x14ac:dyDescent="0.35">
      <c r="A669" t="s">
        <v>8</v>
      </c>
      <c r="B669" t="s">
        <v>9</v>
      </c>
      <c r="C669" t="s">
        <v>16</v>
      </c>
      <c r="D669" s="1">
        <v>45748</v>
      </c>
      <c r="E669">
        <v>70000</v>
      </c>
    </row>
    <row r="670" spans="1:5" x14ac:dyDescent="0.35">
      <c r="A670" t="s">
        <v>48</v>
      </c>
      <c r="B670" t="s">
        <v>49</v>
      </c>
      <c r="C670" t="s">
        <v>50</v>
      </c>
      <c r="D670" s="1">
        <v>45931</v>
      </c>
      <c r="E670">
        <v>11000</v>
      </c>
    </row>
    <row r="671" spans="1:5" x14ac:dyDescent="0.35">
      <c r="A671" t="s">
        <v>39</v>
      </c>
      <c r="B671" t="s">
        <v>40</v>
      </c>
      <c r="C671" t="s">
        <v>21</v>
      </c>
      <c r="D671" s="1">
        <v>45931</v>
      </c>
      <c r="E671">
        <v>19000</v>
      </c>
    </row>
    <row r="672" spans="1:5" x14ac:dyDescent="0.35">
      <c r="A672" t="s">
        <v>11</v>
      </c>
      <c r="B672" t="s">
        <v>59</v>
      </c>
      <c r="C672" t="s">
        <v>16</v>
      </c>
      <c r="D672" s="1">
        <v>45901</v>
      </c>
      <c r="E672">
        <v>118000</v>
      </c>
    </row>
    <row r="673" spans="1:5" x14ac:dyDescent="0.35">
      <c r="A673" t="s">
        <v>72</v>
      </c>
      <c r="B673" t="s">
        <v>73</v>
      </c>
      <c r="C673" t="s">
        <v>16</v>
      </c>
      <c r="D673" s="1">
        <v>45901</v>
      </c>
      <c r="E673">
        <v>117000</v>
      </c>
    </row>
    <row r="674" spans="1:5" x14ac:dyDescent="0.35">
      <c r="A674" t="s">
        <v>41</v>
      </c>
      <c r="B674" t="s">
        <v>42</v>
      </c>
      <c r="C674" t="s">
        <v>21</v>
      </c>
      <c r="D674" s="1">
        <v>45778</v>
      </c>
      <c r="E674">
        <v>22000</v>
      </c>
    </row>
    <row r="675" spans="1:5" x14ac:dyDescent="0.35">
      <c r="A675" t="s">
        <v>72</v>
      </c>
      <c r="B675" t="s">
        <v>73</v>
      </c>
      <c r="C675" t="s">
        <v>28</v>
      </c>
      <c r="D675" s="1">
        <v>45658</v>
      </c>
      <c r="E675">
        <v>117000</v>
      </c>
    </row>
    <row r="676" spans="1:5" x14ac:dyDescent="0.35">
      <c r="A676" t="s">
        <v>39</v>
      </c>
      <c r="B676" t="s">
        <v>40</v>
      </c>
      <c r="C676" t="s">
        <v>13</v>
      </c>
      <c r="D676" s="1">
        <v>45809</v>
      </c>
      <c r="E676">
        <v>19000</v>
      </c>
    </row>
    <row r="677" spans="1:5" x14ac:dyDescent="0.35">
      <c r="A677" t="s">
        <v>22</v>
      </c>
      <c r="B677" t="s">
        <v>23</v>
      </c>
      <c r="C677" t="s">
        <v>65</v>
      </c>
      <c r="D677" s="1">
        <v>45809</v>
      </c>
      <c r="E677">
        <v>15000</v>
      </c>
    </row>
    <row r="678" spans="1:5" x14ac:dyDescent="0.35">
      <c r="A678" t="s">
        <v>24</v>
      </c>
      <c r="B678" t="s">
        <v>45</v>
      </c>
      <c r="C678" t="s">
        <v>10</v>
      </c>
      <c r="D678" s="1">
        <v>45962</v>
      </c>
      <c r="E678">
        <v>38000</v>
      </c>
    </row>
    <row r="679" spans="1:5" x14ac:dyDescent="0.35">
      <c r="A679" t="s">
        <v>91</v>
      </c>
      <c r="B679" t="s">
        <v>92</v>
      </c>
      <c r="C679" t="s">
        <v>50</v>
      </c>
      <c r="D679" s="1">
        <v>45962</v>
      </c>
      <c r="E679" t="s">
        <v>123</v>
      </c>
    </row>
    <row r="680" spans="1:5" x14ac:dyDescent="0.35">
      <c r="A680" t="s">
        <v>43</v>
      </c>
      <c r="B680" t="s">
        <v>44</v>
      </c>
      <c r="C680" t="s">
        <v>7</v>
      </c>
      <c r="D680" s="1">
        <v>45962</v>
      </c>
      <c r="E680">
        <v>22000</v>
      </c>
    </row>
    <row r="681" spans="1:5" x14ac:dyDescent="0.35">
      <c r="A681" t="s">
        <v>72</v>
      </c>
      <c r="B681" t="s">
        <v>73</v>
      </c>
      <c r="C681" t="s">
        <v>21</v>
      </c>
      <c r="D681" s="1">
        <v>45870</v>
      </c>
      <c r="E681">
        <v>16000</v>
      </c>
    </row>
    <row r="682" spans="1:5" x14ac:dyDescent="0.35">
      <c r="A682" t="s">
        <v>29</v>
      </c>
      <c r="B682" t="s">
        <v>46</v>
      </c>
      <c r="C682" t="s">
        <v>16</v>
      </c>
      <c r="D682" s="1">
        <v>45689</v>
      </c>
      <c r="E682">
        <v>60000</v>
      </c>
    </row>
    <row r="683" spans="1:5" x14ac:dyDescent="0.35">
      <c r="A683" t="s">
        <v>24</v>
      </c>
      <c r="B683" t="s">
        <v>45</v>
      </c>
      <c r="C683" t="s">
        <v>13</v>
      </c>
      <c r="D683" s="1">
        <v>45992</v>
      </c>
      <c r="E683">
        <v>22000</v>
      </c>
    </row>
    <row r="684" spans="1:5" x14ac:dyDescent="0.35">
      <c r="A684" t="s">
        <v>35</v>
      </c>
      <c r="B684" t="s">
        <v>81</v>
      </c>
      <c r="C684" t="s">
        <v>28</v>
      </c>
      <c r="D684" s="1">
        <v>45901</v>
      </c>
      <c r="E684">
        <v>33000</v>
      </c>
    </row>
    <row r="685" spans="1:5" x14ac:dyDescent="0.35">
      <c r="A685" t="s">
        <v>17</v>
      </c>
      <c r="B685" t="s">
        <v>18</v>
      </c>
      <c r="C685" t="s">
        <v>16</v>
      </c>
      <c r="D685" s="1">
        <v>45658</v>
      </c>
      <c r="E685">
        <v>90000</v>
      </c>
    </row>
    <row r="686" spans="1:5" x14ac:dyDescent="0.35">
      <c r="A686" t="s">
        <v>24</v>
      </c>
      <c r="B686" t="s">
        <v>45</v>
      </c>
      <c r="C686" t="s">
        <v>21</v>
      </c>
      <c r="D686" s="1">
        <v>45748</v>
      </c>
      <c r="E686">
        <v>22000</v>
      </c>
    </row>
    <row r="687" spans="1:5" x14ac:dyDescent="0.35">
      <c r="A687" t="s">
        <v>43</v>
      </c>
      <c r="B687" t="s">
        <v>44</v>
      </c>
      <c r="C687" t="s">
        <v>21</v>
      </c>
      <c r="D687" s="1">
        <v>45992</v>
      </c>
      <c r="E687">
        <v>27000</v>
      </c>
    </row>
    <row r="688" spans="1:5" x14ac:dyDescent="0.35">
      <c r="A688" t="s">
        <v>60</v>
      </c>
      <c r="B688" t="s">
        <v>61</v>
      </c>
      <c r="C688" t="s">
        <v>10</v>
      </c>
      <c r="D688" s="1">
        <v>45962</v>
      </c>
      <c r="E688">
        <v>23000</v>
      </c>
    </row>
    <row r="689" spans="1:5" x14ac:dyDescent="0.35">
      <c r="A689" t="s">
        <v>19</v>
      </c>
      <c r="B689" t="s">
        <v>20</v>
      </c>
      <c r="C689" t="s">
        <v>10</v>
      </c>
      <c r="D689" s="1">
        <v>45627</v>
      </c>
      <c r="E689">
        <v>30000</v>
      </c>
    </row>
    <row r="690" spans="1:5" x14ac:dyDescent="0.35">
      <c r="A690" t="s">
        <v>62</v>
      </c>
      <c r="B690" t="s">
        <v>63</v>
      </c>
      <c r="C690" t="s">
        <v>28</v>
      </c>
      <c r="D690" s="1">
        <v>45870</v>
      </c>
      <c r="E690">
        <v>46000</v>
      </c>
    </row>
    <row r="691" spans="1:5" x14ac:dyDescent="0.35">
      <c r="A691" t="s">
        <v>51</v>
      </c>
      <c r="B691" t="s">
        <v>52</v>
      </c>
      <c r="C691" t="s">
        <v>50</v>
      </c>
      <c r="D691" s="1">
        <v>45689</v>
      </c>
      <c r="E691">
        <v>21000</v>
      </c>
    </row>
    <row r="692" spans="1:5" x14ac:dyDescent="0.35">
      <c r="A692" t="s">
        <v>62</v>
      </c>
      <c r="B692" t="s">
        <v>63</v>
      </c>
      <c r="C692" t="s">
        <v>16</v>
      </c>
      <c r="D692" s="1">
        <v>45717</v>
      </c>
      <c r="E692">
        <v>62000</v>
      </c>
    </row>
    <row r="693" spans="1:5" x14ac:dyDescent="0.35">
      <c r="A693" t="s">
        <v>19</v>
      </c>
      <c r="B693" t="s">
        <v>20</v>
      </c>
      <c r="C693" t="s">
        <v>28</v>
      </c>
      <c r="D693" s="1">
        <v>45870</v>
      </c>
      <c r="E693">
        <v>79000</v>
      </c>
    </row>
    <row r="694" spans="1:5" x14ac:dyDescent="0.35">
      <c r="A694" t="s">
        <v>11</v>
      </c>
      <c r="B694" t="s">
        <v>59</v>
      </c>
      <c r="C694" t="s">
        <v>65</v>
      </c>
      <c r="D694" s="1">
        <v>45809</v>
      </c>
      <c r="E694">
        <v>39000</v>
      </c>
    </row>
    <row r="695" spans="1:5" x14ac:dyDescent="0.35">
      <c r="A695" t="s">
        <v>70</v>
      </c>
      <c r="B695" t="s">
        <v>71</v>
      </c>
      <c r="C695" t="s">
        <v>16</v>
      </c>
      <c r="D695" s="1">
        <v>45717</v>
      </c>
      <c r="E695">
        <v>85000</v>
      </c>
    </row>
    <row r="696" spans="1:5" x14ac:dyDescent="0.35">
      <c r="A696" t="s">
        <v>53</v>
      </c>
      <c r="B696" t="s">
        <v>54</v>
      </c>
      <c r="C696" t="s">
        <v>28</v>
      </c>
      <c r="D696" s="1">
        <v>45627</v>
      </c>
      <c r="E696">
        <v>63000</v>
      </c>
    </row>
    <row r="697" spans="1:5" x14ac:dyDescent="0.35">
      <c r="A697" t="s">
        <v>57</v>
      </c>
      <c r="B697" t="s">
        <v>58</v>
      </c>
      <c r="C697" t="s">
        <v>10</v>
      </c>
      <c r="D697" s="1">
        <v>45901</v>
      </c>
      <c r="E697">
        <v>18000</v>
      </c>
    </row>
    <row r="698" spans="1:5" x14ac:dyDescent="0.35">
      <c r="A698" t="s">
        <v>43</v>
      </c>
      <c r="B698" t="s">
        <v>44</v>
      </c>
      <c r="C698" t="s">
        <v>50</v>
      </c>
      <c r="D698" s="1">
        <v>45627</v>
      </c>
      <c r="E698">
        <v>27000</v>
      </c>
    </row>
    <row r="699" spans="1:5" x14ac:dyDescent="0.35">
      <c r="A699" t="s">
        <v>19</v>
      </c>
      <c r="B699" t="s">
        <v>20</v>
      </c>
      <c r="C699" t="s">
        <v>28</v>
      </c>
      <c r="D699" s="1">
        <v>45992</v>
      </c>
      <c r="E699">
        <v>90000</v>
      </c>
    </row>
    <row r="700" spans="1:5" x14ac:dyDescent="0.35">
      <c r="A700" t="s">
        <v>26</v>
      </c>
      <c r="B700" t="s">
        <v>27</v>
      </c>
      <c r="C700" t="s">
        <v>28</v>
      </c>
      <c r="D700" s="1">
        <v>45778</v>
      </c>
      <c r="E700">
        <v>72000</v>
      </c>
    </row>
    <row r="701" spans="1:5" x14ac:dyDescent="0.35">
      <c r="A701" t="s">
        <v>29</v>
      </c>
      <c r="B701" t="s">
        <v>46</v>
      </c>
      <c r="C701" t="s">
        <v>65</v>
      </c>
      <c r="D701" s="1">
        <v>45658</v>
      </c>
      <c r="E701">
        <v>36000</v>
      </c>
    </row>
    <row r="702" spans="1:5" x14ac:dyDescent="0.35">
      <c r="A702" t="s">
        <v>19</v>
      </c>
      <c r="B702" t="s">
        <v>20</v>
      </c>
      <c r="C702" t="s">
        <v>7</v>
      </c>
      <c r="D702" s="1">
        <v>45901</v>
      </c>
      <c r="E702">
        <v>30000</v>
      </c>
    </row>
    <row r="703" spans="1:5" x14ac:dyDescent="0.35">
      <c r="A703" t="s">
        <v>48</v>
      </c>
      <c r="B703" t="s">
        <v>49</v>
      </c>
      <c r="C703" t="s">
        <v>21</v>
      </c>
      <c r="D703" s="1">
        <v>45839</v>
      </c>
      <c r="E703">
        <v>11000</v>
      </c>
    </row>
    <row r="704" spans="1:5" x14ac:dyDescent="0.35">
      <c r="A704" t="s">
        <v>57</v>
      </c>
      <c r="B704" t="s">
        <v>58</v>
      </c>
      <c r="C704" t="s">
        <v>28</v>
      </c>
      <c r="D704" s="1">
        <v>45962</v>
      </c>
      <c r="E704">
        <v>52000</v>
      </c>
    </row>
    <row r="705" spans="1:5" x14ac:dyDescent="0.35">
      <c r="A705" t="s">
        <v>74</v>
      </c>
      <c r="B705" t="s">
        <v>75</v>
      </c>
      <c r="C705" t="s">
        <v>16</v>
      </c>
      <c r="D705" s="1">
        <v>45778</v>
      </c>
      <c r="E705">
        <v>155000</v>
      </c>
    </row>
    <row r="706" spans="1:5" x14ac:dyDescent="0.35">
      <c r="A706" t="s">
        <v>11</v>
      </c>
      <c r="B706" t="s">
        <v>59</v>
      </c>
      <c r="C706" t="s">
        <v>10</v>
      </c>
      <c r="D706" s="1">
        <v>45689</v>
      </c>
      <c r="E706">
        <v>39000</v>
      </c>
    </row>
    <row r="707" spans="1:5" x14ac:dyDescent="0.35">
      <c r="A707" t="s">
        <v>60</v>
      </c>
      <c r="B707" t="s">
        <v>61</v>
      </c>
      <c r="C707" t="s">
        <v>21</v>
      </c>
      <c r="D707" s="1">
        <v>45717</v>
      </c>
      <c r="E707">
        <v>18000</v>
      </c>
    </row>
    <row r="708" spans="1:5" x14ac:dyDescent="0.35">
      <c r="A708" t="s">
        <v>68</v>
      </c>
      <c r="B708" t="s">
        <v>69</v>
      </c>
      <c r="C708" t="s">
        <v>28</v>
      </c>
      <c r="D708" s="1">
        <v>45992</v>
      </c>
      <c r="E708">
        <v>40000</v>
      </c>
    </row>
    <row r="709" spans="1:5" x14ac:dyDescent="0.35">
      <c r="A709" t="s">
        <v>33</v>
      </c>
      <c r="B709" t="s">
        <v>34</v>
      </c>
      <c r="C709" t="s">
        <v>65</v>
      </c>
      <c r="D709" s="1">
        <v>45809</v>
      </c>
      <c r="E709">
        <v>17000</v>
      </c>
    </row>
    <row r="710" spans="1:5" x14ac:dyDescent="0.35">
      <c r="A710" t="s">
        <v>37</v>
      </c>
      <c r="B710" t="s">
        <v>38</v>
      </c>
      <c r="C710" t="s">
        <v>10</v>
      </c>
      <c r="D710" s="1">
        <v>45870</v>
      </c>
      <c r="E710">
        <v>19000</v>
      </c>
    </row>
    <row r="711" spans="1:5" x14ac:dyDescent="0.35">
      <c r="A711" t="s">
        <v>84</v>
      </c>
      <c r="B711" t="s">
        <v>85</v>
      </c>
      <c r="C711" t="s">
        <v>16</v>
      </c>
      <c r="D711" s="1">
        <v>45901</v>
      </c>
      <c r="E711">
        <v>44000</v>
      </c>
    </row>
    <row r="712" spans="1:5" x14ac:dyDescent="0.35">
      <c r="A712" t="s">
        <v>5</v>
      </c>
      <c r="B712" t="s">
        <v>6</v>
      </c>
      <c r="C712" t="s">
        <v>28</v>
      </c>
      <c r="D712" s="1">
        <v>45809</v>
      </c>
      <c r="E712">
        <v>85000</v>
      </c>
    </row>
    <row r="713" spans="1:5" x14ac:dyDescent="0.35">
      <c r="A713" t="s">
        <v>8</v>
      </c>
      <c r="B713" t="s">
        <v>9</v>
      </c>
      <c r="C713" t="s">
        <v>21</v>
      </c>
      <c r="D713" s="1">
        <v>45931</v>
      </c>
      <c r="E713">
        <v>17000</v>
      </c>
    </row>
    <row r="714" spans="1:5" x14ac:dyDescent="0.35">
      <c r="A714" t="s">
        <v>26</v>
      </c>
      <c r="B714" t="s">
        <v>27</v>
      </c>
      <c r="C714" t="s">
        <v>10</v>
      </c>
      <c r="D714" s="1">
        <v>45962</v>
      </c>
      <c r="E714">
        <v>25000</v>
      </c>
    </row>
    <row r="715" spans="1:5" x14ac:dyDescent="0.35">
      <c r="A715" t="s">
        <v>43</v>
      </c>
      <c r="B715" t="s">
        <v>44</v>
      </c>
      <c r="C715" t="s">
        <v>7</v>
      </c>
      <c r="D715" s="1">
        <v>45839</v>
      </c>
      <c r="E715">
        <v>22000</v>
      </c>
    </row>
    <row r="716" spans="1:5" x14ac:dyDescent="0.35">
      <c r="A716" t="s">
        <v>78</v>
      </c>
      <c r="B716" t="s">
        <v>79</v>
      </c>
      <c r="C716" t="s">
        <v>16</v>
      </c>
      <c r="D716" s="1">
        <v>45839</v>
      </c>
      <c r="E716">
        <v>49000</v>
      </c>
    </row>
    <row r="717" spans="1:5" x14ac:dyDescent="0.35">
      <c r="A717" t="s">
        <v>22</v>
      </c>
      <c r="B717" t="s">
        <v>23</v>
      </c>
      <c r="C717" t="s">
        <v>10</v>
      </c>
      <c r="D717" s="1">
        <v>45870</v>
      </c>
      <c r="E717">
        <v>15000</v>
      </c>
    </row>
    <row r="718" spans="1:5" x14ac:dyDescent="0.35">
      <c r="A718" t="s">
        <v>48</v>
      </c>
      <c r="B718" t="s">
        <v>49</v>
      </c>
      <c r="C718" t="s">
        <v>7</v>
      </c>
      <c r="D718" s="1">
        <v>45992</v>
      </c>
      <c r="E718">
        <v>26000</v>
      </c>
    </row>
    <row r="719" spans="1:5" x14ac:dyDescent="0.35">
      <c r="A719" t="s">
        <v>53</v>
      </c>
      <c r="B719" t="s">
        <v>54</v>
      </c>
      <c r="C719" t="s">
        <v>10</v>
      </c>
      <c r="D719" s="1">
        <v>45778</v>
      </c>
      <c r="E719">
        <v>35000</v>
      </c>
    </row>
    <row r="720" spans="1:5" x14ac:dyDescent="0.35">
      <c r="A720" t="s">
        <v>41</v>
      </c>
      <c r="B720" t="s">
        <v>120</v>
      </c>
      <c r="C720" t="s">
        <v>16</v>
      </c>
      <c r="D720" s="1">
        <v>45658</v>
      </c>
      <c r="E720">
        <v>89000</v>
      </c>
    </row>
    <row r="721" spans="1:5" x14ac:dyDescent="0.35">
      <c r="A721" t="s">
        <v>60</v>
      </c>
      <c r="B721" t="s">
        <v>61</v>
      </c>
      <c r="C721" t="s">
        <v>16</v>
      </c>
      <c r="D721" s="1">
        <v>45748</v>
      </c>
      <c r="E721">
        <v>35000</v>
      </c>
    </row>
    <row r="722" spans="1:5" x14ac:dyDescent="0.35">
      <c r="A722" t="s">
        <v>48</v>
      </c>
      <c r="B722" t="s">
        <v>49</v>
      </c>
      <c r="C722" t="s">
        <v>28</v>
      </c>
      <c r="D722" s="1">
        <v>45901</v>
      </c>
      <c r="E722">
        <v>112000</v>
      </c>
    </row>
    <row r="723" spans="1:5" x14ac:dyDescent="0.35">
      <c r="A723" t="s">
        <v>11</v>
      </c>
      <c r="B723" t="s">
        <v>59</v>
      </c>
      <c r="C723" t="s">
        <v>10</v>
      </c>
      <c r="D723" s="1">
        <v>45717</v>
      </c>
      <c r="E723">
        <v>39000</v>
      </c>
    </row>
    <row r="724" spans="1:5" x14ac:dyDescent="0.35">
      <c r="A724" t="s">
        <v>24</v>
      </c>
      <c r="B724" t="s">
        <v>45</v>
      </c>
      <c r="C724" t="s">
        <v>21</v>
      </c>
      <c r="D724" s="1">
        <v>45901</v>
      </c>
      <c r="E724">
        <v>22000</v>
      </c>
    </row>
    <row r="725" spans="1:5" x14ac:dyDescent="0.35">
      <c r="A725" t="s">
        <v>19</v>
      </c>
      <c r="B725" t="s">
        <v>20</v>
      </c>
      <c r="C725" t="s">
        <v>16</v>
      </c>
      <c r="D725" s="1">
        <v>45931</v>
      </c>
      <c r="E725">
        <v>90000</v>
      </c>
    </row>
    <row r="726" spans="1:5" x14ac:dyDescent="0.35">
      <c r="A726" t="s">
        <v>70</v>
      </c>
      <c r="B726" t="s">
        <v>71</v>
      </c>
      <c r="C726" t="s">
        <v>21</v>
      </c>
      <c r="D726" s="1">
        <v>45901</v>
      </c>
      <c r="E726">
        <v>9000</v>
      </c>
    </row>
    <row r="727" spans="1:5" x14ac:dyDescent="0.35">
      <c r="A727" t="s">
        <v>24</v>
      </c>
      <c r="B727" t="s">
        <v>45</v>
      </c>
      <c r="C727" t="s">
        <v>16</v>
      </c>
      <c r="D727" s="1">
        <v>45748</v>
      </c>
      <c r="E727">
        <v>100000</v>
      </c>
    </row>
    <row r="728" spans="1:5" x14ac:dyDescent="0.35">
      <c r="A728" t="s">
        <v>41</v>
      </c>
      <c r="B728" t="s">
        <v>42</v>
      </c>
      <c r="C728" t="s">
        <v>28</v>
      </c>
      <c r="D728" s="1">
        <v>45809</v>
      </c>
      <c r="E728">
        <v>102000</v>
      </c>
    </row>
    <row r="729" spans="1:5" x14ac:dyDescent="0.35">
      <c r="A729" t="s">
        <v>43</v>
      </c>
      <c r="B729" t="s">
        <v>44</v>
      </c>
      <c r="C729" t="s">
        <v>10</v>
      </c>
      <c r="D729" s="1">
        <v>45809</v>
      </c>
      <c r="E729">
        <v>22000</v>
      </c>
    </row>
    <row r="730" spans="1:5" x14ac:dyDescent="0.35">
      <c r="A730" t="s">
        <v>19</v>
      </c>
      <c r="B730" t="s">
        <v>77</v>
      </c>
      <c r="C730" t="s">
        <v>28</v>
      </c>
      <c r="D730" s="1">
        <v>45748</v>
      </c>
      <c r="E730">
        <v>79000</v>
      </c>
    </row>
    <row r="731" spans="1:5" x14ac:dyDescent="0.35">
      <c r="A731" t="s">
        <v>39</v>
      </c>
      <c r="B731" t="s">
        <v>40</v>
      </c>
      <c r="C731" t="s">
        <v>28</v>
      </c>
      <c r="D731" s="1">
        <v>45689</v>
      </c>
      <c r="E731">
        <v>60000</v>
      </c>
    </row>
    <row r="732" spans="1:5" x14ac:dyDescent="0.35">
      <c r="A732" t="s">
        <v>11</v>
      </c>
      <c r="B732" t="s">
        <v>59</v>
      </c>
      <c r="C732" t="s">
        <v>7</v>
      </c>
      <c r="D732" s="1">
        <v>45748</v>
      </c>
      <c r="E732">
        <v>39000</v>
      </c>
    </row>
    <row r="733" spans="1:5" x14ac:dyDescent="0.35">
      <c r="A733" t="s">
        <v>29</v>
      </c>
      <c r="B733" t="s">
        <v>30</v>
      </c>
      <c r="C733" t="s">
        <v>28</v>
      </c>
      <c r="D733" s="1">
        <v>45717</v>
      </c>
      <c r="E733">
        <v>60000</v>
      </c>
    </row>
    <row r="734" spans="1:5" x14ac:dyDescent="0.35">
      <c r="A734" t="s">
        <v>57</v>
      </c>
      <c r="B734" t="s">
        <v>58</v>
      </c>
      <c r="C734" t="s">
        <v>16</v>
      </c>
      <c r="D734" s="1">
        <v>45809</v>
      </c>
      <c r="E734">
        <v>52000</v>
      </c>
    </row>
    <row r="735" spans="1:5" x14ac:dyDescent="0.35">
      <c r="A735" t="s">
        <v>48</v>
      </c>
      <c r="B735" t="s">
        <v>49</v>
      </c>
      <c r="C735" t="s">
        <v>28</v>
      </c>
      <c r="D735" s="1">
        <v>45992</v>
      </c>
      <c r="E735">
        <v>112000</v>
      </c>
    </row>
    <row r="736" spans="1:5" x14ac:dyDescent="0.35">
      <c r="A736" t="s">
        <v>74</v>
      </c>
      <c r="B736" t="s">
        <v>75</v>
      </c>
      <c r="C736" t="s">
        <v>28</v>
      </c>
      <c r="D736" s="1">
        <v>45658</v>
      </c>
      <c r="E736" t="s">
        <v>124</v>
      </c>
    </row>
    <row r="737" spans="1:5" x14ac:dyDescent="0.35">
      <c r="A737" t="s">
        <v>8</v>
      </c>
      <c r="B737" t="s">
        <v>9</v>
      </c>
      <c r="C737" t="s">
        <v>16</v>
      </c>
      <c r="D737" s="1">
        <v>45870</v>
      </c>
      <c r="E737">
        <v>70000</v>
      </c>
    </row>
    <row r="738" spans="1:5" x14ac:dyDescent="0.35">
      <c r="A738" t="s">
        <v>51</v>
      </c>
      <c r="B738" t="s">
        <v>52</v>
      </c>
      <c r="C738" t="s">
        <v>10</v>
      </c>
      <c r="D738" s="1">
        <v>45627</v>
      </c>
      <c r="E738">
        <v>27000</v>
      </c>
    </row>
    <row r="739" spans="1:5" x14ac:dyDescent="0.35">
      <c r="A739" t="s">
        <v>87</v>
      </c>
      <c r="B739" t="s">
        <v>88</v>
      </c>
      <c r="C739" t="s">
        <v>16</v>
      </c>
      <c r="D739" s="1">
        <v>45778</v>
      </c>
      <c r="E739">
        <v>73000</v>
      </c>
    </row>
    <row r="740" spans="1:5" x14ac:dyDescent="0.35">
      <c r="A740" t="s">
        <v>78</v>
      </c>
      <c r="B740" t="s">
        <v>79</v>
      </c>
      <c r="C740" t="s">
        <v>16</v>
      </c>
      <c r="D740" s="1">
        <v>45658</v>
      </c>
      <c r="E740">
        <v>49000</v>
      </c>
    </row>
    <row r="741" spans="1:5" x14ac:dyDescent="0.35">
      <c r="A741" t="s">
        <v>8</v>
      </c>
      <c r="B741" t="s">
        <v>9</v>
      </c>
      <c r="C741" t="s">
        <v>50</v>
      </c>
      <c r="D741" s="1">
        <v>45901</v>
      </c>
      <c r="E741">
        <v>17000</v>
      </c>
    </row>
    <row r="742" spans="1:5" x14ac:dyDescent="0.35">
      <c r="A742" t="s">
        <v>72</v>
      </c>
      <c r="B742" t="s">
        <v>73</v>
      </c>
      <c r="C742" t="s">
        <v>28</v>
      </c>
      <c r="D742" s="1">
        <v>45870</v>
      </c>
      <c r="E742">
        <v>117000</v>
      </c>
    </row>
    <row r="743" spans="1:5" x14ac:dyDescent="0.35">
      <c r="A743" t="s">
        <v>39</v>
      </c>
      <c r="B743" t="s">
        <v>40</v>
      </c>
      <c r="C743" t="s">
        <v>21</v>
      </c>
      <c r="D743" s="1">
        <v>45870</v>
      </c>
      <c r="E743">
        <v>19000</v>
      </c>
    </row>
    <row r="744" spans="1:5" x14ac:dyDescent="0.35">
      <c r="A744" t="s">
        <v>24</v>
      </c>
      <c r="B744" t="s">
        <v>45</v>
      </c>
      <c r="C744" t="s">
        <v>65</v>
      </c>
      <c r="D744" s="1">
        <v>45658</v>
      </c>
      <c r="E744">
        <v>31000</v>
      </c>
    </row>
    <row r="745" spans="1:5" x14ac:dyDescent="0.35">
      <c r="A745" t="s">
        <v>91</v>
      </c>
      <c r="B745" t="s">
        <v>92</v>
      </c>
      <c r="C745" t="s">
        <v>28</v>
      </c>
      <c r="D745" s="1">
        <v>45717</v>
      </c>
      <c r="E745">
        <v>90000</v>
      </c>
    </row>
    <row r="746" spans="1:5" x14ac:dyDescent="0.35">
      <c r="A746" t="s">
        <v>91</v>
      </c>
      <c r="B746" t="s">
        <v>92</v>
      </c>
      <c r="C746" t="s">
        <v>50</v>
      </c>
      <c r="D746" s="1">
        <v>45992</v>
      </c>
      <c r="E746">
        <v>23000</v>
      </c>
    </row>
    <row r="747" spans="1:5" x14ac:dyDescent="0.35">
      <c r="A747" t="s">
        <v>48</v>
      </c>
      <c r="B747" t="s">
        <v>49</v>
      </c>
      <c r="C747" t="s">
        <v>7</v>
      </c>
      <c r="D747" s="1">
        <v>45931</v>
      </c>
      <c r="E747">
        <v>26000</v>
      </c>
    </row>
    <row r="748" spans="1:5" x14ac:dyDescent="0.35">
      <c r="A748" t="s">
        <v>39</v>
      </c>
      <c r="B748" t="s">
        <v>40</v>
      </c>
      <c r="C748" t="s">
        <v>28</v>
      </c>
      <c r="D748" s="1">
        <v>45839</v>
      </c>
      <c r="E748">
        <v>60000</v>
      </c>
    </row>
    <row r="749" spans="1:5" x14ac:dyDescent="0.35">
      <c r="A749" t="s">
        <v>11</v>
      </c>
      <c r="B749" t="s">
        <v>59</v>
      </c>
      <c r="C749" t="s">
        <v>28</v>
      </c>
      <c r="D749" s="1">
        <v>45839</v>
      </c>
      <c r="E749">
        <v>118000</v>
      </c>
    </row>
    <row r="750" spans="1:5" x14ac:dyDescent="0.35">
      <c r="A750" t="s">
        <v>37</v>
      </c>
      <c r="B750" t="s">
        <v>38</v>
      </c>
      <c r="C750" t="s">
        <v>28</v>
      </c>
      <c r="D750" s="1">
        <v>45931</v>
      </c>
      <c r="E750">
        <v>88000</v>
      </c>
    </row>
    <row r="751" spans="1:5" x14ac:dyDescent="0.35">
      <c r="A751" t="s">
        <v>22</v>
      </c>
      <c r="B751" t="s">
        <v>23</v>
      </c>
      <c r="C751" t="s">
        <v>10</v>
      </c>
      <c r="D751" s="1">
        <v>45931</v>
      </c>
      <c r="E751">
        <v>15000</v>
      </c>
    </row>
    <row r="752" spans="1:5" x14ac:dyDescent="0.35">
      <c r="A752" t="s">
        <v>70</v>
      </c>
      <c r="B752" t="s">
        <v>71</v>
      </c>
      <c r="C752" t="s">
        <v>10</v>
      </c>
      <c r="D752" s="1">
        <v>45870</v>
      </c>
      <c r="E752">
        <v>27000</v>
      </c>
    </row>
    <row r="753" spans="1:5" x14ac:dyDescent="0.35">
      <c r="A753" t="s">
        <v>31</v>
      </c>
      <c r="B753" t="s">
        <v>32</v>
      </c>
      <c r="C753" t="s">
        <v>16</v>
      </c>
      <c r="D753" s="1">
        <v>45748</v>
      </c>
      <c r="E753">
        <v>77000</v>
      </c>
    </row>
    <row r="754" spans="1:5" x14ac:dyDescent="0.35">
      <c r="A754" t="s">
        <v>43</v>
      </c>
      <c r="B754" t="s">
        <v>44</v>
      </c>
      <c r="C754" t="s">
        <v>16</v>
      </c>
      <c r="D754" s="1">
        <v>45839</v>
      </c>
      <c r="E754">
        <v>70000</v>
      </c>
    </row>
    <row r="755" spans="1:5" x14ac:dyDescent="0.35">
      <c r="A755" t="s">
        <v>17</v>
      </c>
      <c r="B755" t="s">
        <v>18</v>
      </c>
      <c r="C755" t="s">
        <v>28</v>
      </c>
      <c r="D755" s="1">
        <v>45962</v>
      </c>
      <c r="E755">
        <v>90000</v>
      </c>
    </row>
    <row r="756" spans="1:5" x14ac:dyDescent="0.35">
      <c r="A756" t="s">
        <v>78</v>
      </c>
      <c r="B756" t="s">
        <v>79</v>
      </c>
      <c r="C756" t="s">
        <v>16</v>
      </c>
      <c r="D756" s="1">
        <v>45748</v>
      </c>
      <c r="E756">
        <v>49000</v>
      </c>
    </row>
    <row r="757" spans="1:5" x14ac:dyDescent="0.35">
      <c r="A757" t="s">
        <v>91</v>
      </c>
      <c r="B757" t="s">
        <v>92</v>
      </c>
      <c r="C757" t="s">
        <v>21</v>
      </c>
      <c r="D757" s="1">
        <v>45931</v>
      </c>
      <c r="E757">
        <v>19000</v>
      </c>
    </row>
    <row r="758" spans="1:5" x14ac:dyDescent="0.35">
      <c r="A758" t="s">
        <v>41</v>
      </c>
      <c r="B758" t="s">
        <v>42</v>
      </c>
      <c r="C758" t="s">
        <v>21</v>
      </c>
      <c r="D758" s="1">
        <v>45901</v>
      </c>
      <c r="E758">
        <v>22000</v>
      </c>
    </row>
    <row r="759" spans="1:5" x14ac:dyDescent="0.35">
      <c r="A759" t="s">
        <v>62</v>
      </c>
      <c r="B759" t="s">
        <v>63</v>
      </c>
      <c r="C759" t="s">
        <v>28</v>
      </c>
      <c r="D759" s="1">
        <v>45931</v>
      </c>
      <c r="E759">
        <v>36000</v>
      </c>
    </row>
    <row r="760" spans="1:5" x14ac:dyDescent="0.35">
      <c r="A760" t="s">
        <v>60</v>
      </c>
      <c r="B760" t="s">
        <v>61</v>
      </c>
      <c r="C760" t="s">
        <v>7</v>
      </c>
      <c r="D760" s="1">
        <v>45748</v>
      </c>
      <c r="E760">
        <v>23000</v>
      </c>
    </row>
    <row r="761" spans="1:5" x14ac:dyDescent="0.35">
      <c r="A761" t="s">
        <v>62</v>
      </c>
      <c r="B761" t="s">
        <v>63</v>
      </c>
      <c r="C761" t="s">
        <v>16</v>
      </c>
      <c r="D761" s="1">
        <v>45748</v>
      </c>
      <c r="E761">
        <v>62000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1"/>
  <sheetViews>
    <sheetView topLeftCell="A730" workbookViewId="0">
      <selection activeCell="H758" sqref="H758"/>
    </sheetView>
  </sheetViews>
  <sheetFormatPr baseColWidth="10" defaultColWidth="8.7265625" defaultRowHeight="14.5" x14ac:dyDescent="0.35"/>
  <cols>
    <col min="1" max="1" width="11.7265625" bestFit="1" customWidth="1"/>
    <col min="3" max="3" width="15.08984375" bestFit="1" customWidth="1"/>
    <col min="4" max="4" width="17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45901</v>
      </c>
      <c r="E2">
        <v>24000</v>
      </c>
    </row>
    <row r="3" spans="1:5" x14ac:dyDescent="0.35">
      <c r="A3" t="s">
        <v>8</v>
      </c>
      <c r="B3" t="s">
        <v>9</v>
      </c>
      <c r="C3" t="s">
        <v>10</v>
      </c>
      <c r="D3" s="1">
        <v>45992</v>
      </c>
      <c r="E3">
        <v>35000</v>
      </c>
    </row>
    <row r="4" spans="1:5" x14ac:dyDescent="0.35">
      <c r="A4" t="s">
        <v>11</v>
      </c>
      <c r="B4" t="s">
        <v>12</v>
      </c>
      <c r="C4" t="s">
        <v>13</v>
      </c>
      <c r="D4" s="1">
        <v>45931</v>
      </c>
      <c r="E4">
        <v>27000</v>
      </c>
    </row>
    <row r="5" spans="1:5" x14ac:dyDescent="0.35">
      <c r="A5" t="s">
        <v>14</v>
      </c>
      <c r="B5" t="s">
        <v>15</v>
      </c>
      <c r="C5" t="s">
        <v>16</v>
      </c>
      <c r="D5" s="1">
        <v>45870</v>
      </c>
      <c r="E5">
        <v>79000</v>
      </c>
    </row>
    <row r="6" spans="1:5" x14ac:dyDescent="0.35">
      <c r="A6" t="s">
        <v>17</v>
      </c>
      <c r="B6" t="s">
        <v>18</v>
      </c>
      <c r="C6" t="s">
        <v>10</v>
      </c>
      <c r="D6" s="1">
        <v>45992</v>
      </c>
      <c r="E6">
        <v>45000</v>
      </c>
    </row>
    <row r="7" spans="1:5" x14ac:dyDescent="0.35">
      <c r="A7" t="s">
        <v>19</v>
      </c>
      <c r="B7" t="s">
        <v>20</v>
      </c>
      <c r="C7" t="s">
        <v>21</v>
      </c>
      <c r="D7" s="1">
        <v>45839</v>
      </c>
      <c r="E7">
        <v>10000</v>
      </c>
    </row>
    <row r="8" spans="1:5" x14ac:dyDescent="0.35">
      <c r="A8" t="s">
        <v>22</v>
      </c>
      <c r="B8" t="s">
        <v>23</v>
      </c>
      <c r="C8" t="s">
        <v>10</v>
      </c>
      <c r="D8" s="1">
        <v>45870</v>
      </c>
      <c r="E8">
        <v>15000</v>
      </c>
    </row>
    <row r="9" spans="1:5" x14ac:dyDescent="0.35">
      <c r="A9" t="s">
        <v>24</v>
      </c>
      <c r="B9" t="s">
        <v>25</v>
      </c>
      <c r="C9" t="s">
        <v>10</v>
      </c>
      <c r="D9" s="1">
        <v>45748</v>
      </c>
      <c r="E9">
        <v>38000</v>
      </c>
    </row>
    <row r="10" spans="1:5" x14ac:dyDescent="0.35">
      <c r="A10" t="s">
        <v>26</v>
      </c>
      <c r="B10" t="s">
        <v>27</v>
      </c>
      <c r="C10" t="s">
        <v>28</v>
      </c>
      <c r="D10" s="1">
        <v>45962</v>
      </c>
      <c r="E10">
        <v>72000</v>
      </c>
    </row>
    <row r="11" spans="1:5" x14ac:dyDescent="0.35">
      <c r="A11" t="s">
        <v>29</v>
      </c>
      <c r="B11" t="s">
        <v>30</v>
      </c>
      <c r="C11" t="s">
        <v>7</v>
      </c>
      <c r="D11" s="1">
        <v>45717</v>
      </c>
      <c r="E11">
        <v>36000</v>
      </c>
    </row>
    <row r="12" spans="1:5" x14ac:dyDescent="0.35">
      <c r="A12" t="s">
        <v>31</v>
      </c>
      <c r="B12" t="s">
        <v>32</v>
      </c>
      <c r="C12" t="s">
        <v>28</v>
      </c>
      <c r="D12" s="1">
        <v>45778</v>
      </c>
      <c r="E12">
        <v>77000</v>
      </c>
    </row>
    <row r="13" spans="1:5" x14ac:dyDescent="0.35">
      <c r="A13" t="s">
        <v>17</v>
      </c>
      <c r="B13" t="s">
        <v>18</v>
      </c>
      <c r="C13" t="s">
        <v>21</v>
      </c>
      <c r="D13" s="1">
        <v>45627</v>
      </c>
      <c r="E13">
        <v>8000</v>
      </c>
    </row>
    <row r="14" spans="1:5" x14ac:dyDescent="0.35">
      <c r="A14" t="s">
        <v>33</v>
      </c>
      <c r="B14" t="s">
        <v>34</v>
      </c>
      <c r="C14" t="s">
        <v>28</v>
      </c>
      <c r="D14" s="1">
        <v>45992</v>
      </c>
      <c r="E14">
        <v>66000</v>
      </c>
    </row>
    <row r="15" spans="1:5" x14ac:dyDescent="0.35">
      <c r="A15" t="s">
        <v>35</v>
      </c>
      <c r="B15" t="s">
        <v>36</v>
      </c>
      <c r="C15" t="s">
        <v>10</v>
      </c>
      <c r="D15" s="1">
        <v>45931</v>
      </c>
      <c r="E15">
        <v>13000</v>
      </c>
    </row>
    <row r="16" spans="1:5" x14ac:dyDescent="0.35">
      <c r="A16" t="s">
        <v>37</v>
      </c>
      <c r="B16" t="s">
        <v>38</v>
      </c>
      <c r="C16" t="s">
        <v>10</v>
      </c>
      <c r="D16" s="1">
        <v>45992</v>
      </c>
      <c r="E16">
        <v>19000</v>
      </c>
    </row>
    <row r="17" spans="1:5" x14ac:dyDescent="0.35">
      <c r="A17" t="s">
        <v>39</v>
      </c>
      <c r="B17" t="s">
        <v>40</v>
      </c>
      <c r="C17" t="s">
        <v>28</v>
      </c>
      <c r="D17" s="1">
        <v>45748</v>
      </c>
      <c r="E17">
        <v>60000</v>
      </c>
    </row>
    <row r="18" spans="1:5" x14ac:dyDescent="0.35">
      <c r="A18" t="s">
        <v>41</v>
      </c>
      <c r="B18" t="s">
        <v>42</v>
      </c>
      <c r="C18" t="s">
        <v>21</v>
      </c>
      <c r="D18" s="1">
        <v>45992</v>
      </c>
      <c r="E18">
        <v>22000</v>
      </c>
    </row>
    <row r="19" spans="1:5" x14ac:dyDescent="0.35">
      <c r="A19" t="s">
        <v>43</v>
      </c>
      <c r="B19" t="s">
        <v>44</v>
      </c>
      <c r="C19" t="s">
        <v>28</v>
      </c>
      <c r="D19" s="1">
        <v>45809</v>
      </c>
      <c r="E19">
        <v>70000</v>
      </c>
    </row>
    <row r="20" spans="1:5" x14ac:dyDescent="0.35">
      <c r="A20" t="s">
        <v>19</v>
      </c>
      <c r="B20" t="s">
        <v>20</v>
      </c>
      <c r="C20" t="s">
        <v>10</v>
      </c>
      <c r="D20" s="1">
        <v>45658</v>
      </c>
      <c r="E20">
        <v>30000</v>
      </c>
    </row>
    <row r="21" spans="1:5" x14ac:dyDescent="0.35">
      <c r="A21" t="s">
        <v>24</v>
      </c>
      <c r="B21" t="s">
        <v>45</v>
      </c>
      <c r="C21" t="s">
        <v>16</v>
      </c>
      <c r="D21" s="1">
        <v>45901</v>
      </c>
      <c r="E21">
        <v>100000</v>
      </c>
    </row>
    <row r="22" spans="1:5" x14ac:dyDescent="0.35">
      <c r="A22" t="s">
        <v>41</v>
      </c>
      <c r="B22" t="s">
        <v>42</v>
      </c>
      <c r="C22" t="s">
        <v>16</v>
      </c>
      <c r="D22" s="1">
        <v>45870</v>
      </c>
      <c r="E22">
        <v>102000</v>
      </c>
    </row>
    <row r="23" spans="1:5" x14ac:dyDescent="0.35">
      <c r="A23" t="s">
        <v>29</v>
      </c>
      <c r="B23" t="s">
        <v>46</v>
      </c>
      <c r="C23" t="s">
        <v>10</v>
      </c>
      <c r="D23" s="1">
        <v>45962</v>
      </c>
      <c r="E23" s="2" t="s">
        <v>47</v>
      </c>
    </row>
    <row r="24" spans="1:5" x14ac:dyDescent="0.35">
      <c r="A24" t="s">
        <v>5</v>
      </c>
      <c r="B24" t="s">
        <v>6</v>
      </c>
      <c r="C24" t="s">
        <v>10</v>
      </c>
      <c r="D24" s="1">
        <v>45962</v>
      </c>
      <c r="E24">
        <v>24000</v>
      </c>
    </row>
    <row r="25" spans="1:5" x14ac:dyDescent="0.35">
      <c r="A25" t="s">
        <v>19</v>
      </c>
      <c r="B25" t="s">
        <v>20</v>
      </c>
      <c r="C25" t="s">
        <v>21</v>
      </c>
      <c r="D25" s="1">
        <v>45748</v>
      </c>
      <c r="E25">
        <v>10000</v>
      </c>
    </row>
    <row r="26" spans="1:5" x14ac:dyDescent="0.35">
      <c r="A26" t="s">
        <v>29</v>
      </c>
      <c r="B26" t="s">
        <v>46</v>
      </c>
      <c r="C26" t="s">
        <v>16</v>
      </c>
      <c r="D26" s="1">
        <v>45839</v>
      </c>
      <c r="E26">
        <v>60000</v>
      </c>
    </row>
    <row r="27" spans="1:5" x14ac:dyDescent="0.35">
      <c r="A27" t="s">
        <v>48</v>
      </c>
      <c r="B27" t="s">
        <v>49</v>
      </c>
      <c r="C27" t="s">
        <v>10</v>
      </c>
      <c r="D27" s="1">
        <v>45901</v>
      </c>
      <c r="E27">
        <v>26000</v>
      </c>
    </row>
    <row r="28" spans="1:5" x14ac:dyDescent="0.35">
      <c r="A28" t="s">
        <v>48</v>
      </c>
      <c r="B28" t="s">
        <v>49</v>
      </c>
      <c r="C28" t="s">
        <v>21</v>
      </c>
      <c r="D28" s="1">
        <v>45778</v>
      </c>
      <c r="E28">
        <v>11000</v>
      </c>
    </row>
    <row r="29" spans="1:5" x14ac:dyDescent="0.35">
      <c r="A29" t="s">
        <v>48</v>
      </c>
      <c r="B29" t="s">
        <v>49</v>
      </c>
      <c r="C29" t="s">
        <v>50</v>
      </c>
      <c r="D29" s="1">
        <v>45717</v>
      </c>
      <c r="E29">
        <v>11000</v>
      </c>
    </row>
    <row r="30" spans="1:5" x14ac:dyDescent="0.35">
      <c r="A30" t="s">
        <v>43</v>
      </c>
      <c r="B30" t="s">
        <v>44</v>
      </c>
      <c r="C30" t="s">
        <v>28</v>
      </c>
      <c r="D30" s="1">
        <v>45658</v>
      </c>
      <c r="E30">
        <v>70000</v>
      </c>
    </row>
    <row r="31" spans="1:5" x14ac:dyDescent="0.35">
      <c r="A31" t="s">
        <v>51</v>
      </c>
      <c r="B31" t="s">
        <v>52</v>
      </c>
      <c r="C31" t="s">
        <v>13</v>
      </c>
      <c r="D31" s="1">
        <v>45717</v>
      </c>
      <c r="E31">
        <v>21000</v>
      </c>
    </row>
    <row r="32" spans="1:5" x14ac:dyDescent="0.35">
      <c r="A32" t="s">
        <v>53</v>
      </c>
      <c r="B32" t="s">
        <v>54</v>
      </c>
      <c r="C32" t="s">
        <v>10</v>
      </c>
      <c r="D32" s="1">
        <v>45627</v>
      </c>
      <c r="E32">
        <v>31000</v>
      </c>
    </row>
    <row r="33" spans="1:5" x14ac:dyDescent="0.35">
      <c r="A33" t="s">
        <v>5</v>
      </c>
      <c r="B33" t="s">
        <v>6</v>
      </c>
      <c r="C33" t="s">
        <v>28</v>
      </c>
      <c r="D33" s="1">
        <v>45870</v>
      </c>
      <c r="E33">
        <v>97000</v>
      </c>
    </row>
    <row r="34" spans="1:5" x14ac:dyDescent="0.35">
      <c r="A34" t="s">
        <v>43</v>
      </c>
      <c r="B34" t="s">
        <v>44</v>
      </c>
      <c r="C34" t="s">
        <v>28</v>
      </c>
      <c r="D34" s="1">
        <v>45748</v>
      </c>
      <c r="E34">
        <v>70000</v>
      </c>
    </row>
    <row r="35" spans="1:5" x14ac:dyDescent="0.35">
      <c r="A35" t="s">
        <v>8</v>
      </c>
      <c r="B35" t="s">
        <v>9</v>
      </c>
      <c r="C35" t="s">
        <v>10</v>
      </c>
      <c r="D35" s="1">
        <v>45962</v>
      </c>
      <c r="E35">
        <v>35000</v>
      </c>
    </row>
    <row r="36" spans="1:5" x14ac:dyDescent="0.35">
      <c r="A36" t="s">
        <v>48</v>
      </c>
      <c r="B36" t="s">
        <v>49</v>
      </c>
      <c r="C36" t="s">
        <v>50</v>
      </c>
      <c r="D36" s="1">
        <v>45901</v>
      </c>
      <c r="E36">
        <v>11000</v>
      </c>
    </row>
    <row r="37" spans="1:5" x14ac:dyDescent="0.35">
      <c r="A37" t="s">
        <v>55</v>
      </c>
      <c r="B37" t="s">
        <v>56</v>
      </c>
      <c r="C37" t="s">
        <v>28</v>
      </c>
      <c r="D37" s="1">
        <v>45931</v>
      </c>
      <c r="E37">
        <v>87000</v>
      </c>
    </row>
    <row r="38" spans="1:5" x14ac:dyDescent="0.35">
      <c r="A38" t="s">
        <v>17</v>
      </c>
      <c r="B38" t="s">
        <v>18</v>
      </c>
      <c r="C38" t="s">
        <v>16</v>
      </c>
      <c r="D38" s="1">
        <v>45931</v>
      </c>
      <c r="E38">
        <v>90000</v>
      </c>
    </row>
    <row r="39" spans="1:5" x14ac:dyDescent="0.35">
      <c r="A39" t="s">
        <v>39</v>
      </c>
      <c r="B39" t="s">
        <v>40</v>
      </c>
      <c r="C39" t="s">
        <v>28</v>
      </c>
      <c r="D39" s="1">
        <v>45962</v>
      </c>
      <c r="E39">
        <v>60000</v>
      </c>
    </row>
    <row r="40" spans="1:5" x14ac:dyDescent="0.35">
      <c r="A40" t="s">
        <v>53</v>
      </c>
      <c r="B40" t="s">
        <v>54</v>
      </c>
      <c r="C40" t="s">
        <v>28</v>
      </c>
      <c r="D40" s="1">
        <v>45778</v>
      </c>
      <c r="E40">
        <v>63000</v>
      </c>
    </row>
    <row r="41" spans="1:5" x14ac:dyDescent="0.35">
      <c r="A41" t="s">
        <v>19</v>
      </c>
      <c r="B41" t="s">
        <v>20</v>
      </c>
      <c r="C41" t="s">
        <v>13</v>
      </c>
      <c r="D41" s="1">
        <v>45992</v>
      </c>
      <c r="E41">
        <v>10000</v>
      </c>
    </row>
    <row r="42" spans="1:5" x14ac:dyDescent="0.35">
      <c r="A42" t="s">
        <v>51</v>
      </c>
      <c r="B42" t="s">
        <v>52</v>
      </c>
      <c r="C42" t="s">
        <v>16</v>
      </c>
      <c r="D42" s="1">
        <v>45717</v>
      </c>
      <c r="E42">
        <v>44000</v>
      </c>
    </row>
    <row r="43" spans="1:5" x14ac:dyDescent="0.35">
      <c r="A43" t="s">
        <v>57</v>
      </c>
      <c r="B43" t="s">
        <v>58</v>
      </c>
      <c r="C43" t="s">
        <v>28</v>
      </c>
      <c r="D43" s="1">
        <v>45931</v>
      </c>
      <c r="E43">
        <v>52000</v>
      </c>
    </row>
    <row r="44" spans="1:5" x14ac:dyDescent="0.35">
      <c r="A44" t="s">
        <v>29</v>
      </c>
      <c r="B44" t="s">
        <v>46</v>
      </c>
      <c r="C44" t="s">
        <v>16</v>
      </c>
      <c r="D44" s="1">
        <v>45992</v>
      </c>
      <c r="E44">
        <v>72000</v>
      </c>
    </row>
    <row r="45" spans="1:5" x14ac:dyDescent="0.35">
      <c r="A45" t="s">
        <v>11</v>
      </c>
      <c r="B45" t="s">
        <v>59</v>
      </c>
      <c r="C45" t="s">
        <v>21</v>
      </c>
      <c r="D45" s="1">
        <v>45992</v>
      </c>
      <c r="E45">
        <v>27000</v>
      </c>
    </row>
    <row r="46" spans="1:5" x14ac:dyDescent="0.35">
      <c r="A46" t="s">
        <v>60</v>
      </c>
      <c r="B46" t="s">
        <v>61</v>
      </c>
      <c r="C46" t="s">
        <v>21</v>
      </c>
      <c r="D46" s="1">
        <v>45809</v>
      </c>
      <c r="E46">
        <v>18000</v>
      </c>
    </row>
    <row r="47" spans="1:5" x14ac:dyDescent="0.35">
      <c r="A47" t="s">
        <v>24</v>
      </c>
      <c r="B47" t="s">
        <v>45</v>
      </c>
      <c r="C47" t="s">
        <v>21</v>
      </c>
      <c r="D47" s="1">
        <v>45870</v>
      </c>
      <c r="E47">
        <v>22000</v>
      </c>
    </row>
    <row r="48" spans="1:5" x14ac:dyDescent="0.35">
      <c r="A48" t="s">
        <v>22</v>
      </c>
      <c r="B48" t="s">
        <v>23</v>
      </c>
      <c r="C48" t="s">
        <v>16</v>
      </c>
      <c r="D48" s="1">
        <v>45717</v>
      </c>
      <c r="E48">
        <v>111000</v>
      </c>
    </row>
    <row r="49" spans="1:5" x14ac:dyDescent="0.35">
      <c r="A49" t="s">
        <v>33</v>
      </c>
      <c r="B49" t="s">
        <v>34</v>
      </c>
      <c r="C49" t="s">
        <v>16</v>
      </c>
      <c r="D49" s="1">
        <v>45809</v>
      </c>
      <c r="E49">
        <v>66000</v>
      </c>
    </row>
    <row r="50" spans="1:5" x14ac:dyDescent="0.35">
      <c r="A50" t="s">
        <v>33</v>
      </c>
      <c r="B50" t="s">
        <v>34</v>
      </c>
      <c r="C50" t="s">
        <v>10</v>
      </c>
      <c r="D50" s="1">
        <v>45839</v>
      </c>
      <c r="E50">
        <v>17000</v>
      </c>
    </row>
    <row r="51" spans="1:5" x14ac:dyDescent="0.35">
      <c r="A51" t="s">
        <v>60</v>
      </c>
      <c r="B51" t="s">
        <v>61</v>
      </c>
      <c r="C51" t="s">
        <v>16</v>
      </c>
      <c r="D51" s="1">
        <v>45658</v>
      </c>
      <c r="E51">
        <v>35000</v>
      </c>
    </row>
    <row r="52" spans="1:5" x14ac:dyDescent="0.35">
      <c r="A52" t="s">
        <v>19</v>
      </c>
      <c r="B52" t="s">
        <v>20</v>
      </c>
      <c r="C52" t="s">
        <v>21</v>
      </c>
      <c r="D52" s="1">
        <v>45901</v>
      </c>
      <c r="E52">
        <v>10000</v>
      </c>
    </row>
    <row r="53" spans="1:5" x14ac:dyDescent="0.35">
      <c r="A53" t="s">
        <v>62</v>
      </c>
      <c r="B53" t="s">
        <v>63</v>
      </c>
      <c r="C53" t="s">
        <v>16</v>
      </c>
      <c r="D53" s="1">
        <v>45901</v>
      </c>
      <c r="E53">
        <v>36000</v>
      </c>
    </row>
    <row r="54" spans="1:5" x14ac:dyDescent="0.35">
      <c r="A54" t="s">
        <v>19</v>
      </c>
      <c r="B54" t="s">
        <v>20</v>
      </c>
      <c r="C54" t="s">
        <v>28</v>
      </c>
      <c r="D54" s="1">
        <v>45689</v>
      </c>
      <c r="E54">
        <v>79000</v>
      </c>
    </row>
    <row r="55" spans="1:5" x14ac:dyDescent="0.35">
      <c r="A55" t="s">
        <v>57</v>
      </c>
      <c r="B55" t="s">
        <v>64</v>
      </c>
      <c r="C55" t="s">
        <v>65</v>
      </c>
      <c r="D55" s="1">
        <v>45809</v>
      </c>
      <c r="E55">
        <v>18000</v>
      </c>
    </row>
    <row r="56" spans="1:5" x14ac:dyDescent="0.35">
      <c r="A56" t="s">
        <v>24</v>
      </c>
      <c r="B56" t="s">
        <v>25</v>
      </c>
      <c r="C56" t="s">
        <v>7</v>
      </c>
      <c r="D56" s="1">
        <v>45809</v>
      </c>
      <c r="E56">
        <v>38000</v>
      </c>
    </row>
    <row r="57" spans="1:5" x14ac:dyDescent="0.35">
      <c r="A57" t="s">
        <v>33</v>
      </c>
      <c r="B57" t="s">
        <v>34</v>
      </c>
      <c r="C57" t="s">
        <v>28</v>
      </c>
      <c r="D57" s="1">
        <v>45931</v>
      </c>
      <c r="E57">
        <v>66000</v>
      </c>
    </row>
    <row r="58" spans="1:5" x14ac:dyDescent="0.35">
      <c r="A58" t="s">
        <v>24</v>
      </c>
      <c r="B58" t="s">
        <v>25</v>
      </c>
      <c r="C58" t="s">
        <v>28</v>
      </c>
      <c r="D58" s="1">
        <v>45689</v>
      </c>
      <c r="E58">
        <v>100000</v>
      </c>
    </row>
    <row r="59" spans="1:5" x14ac:dyDescent="0.35">
      <c r="A59" t="s">
        <v>66</v>
      </c>
      <c r="B59" t="s">
        <v>67</v>
      </c>
      <c r="C59" t="s">
        <v>13</v>
      </c>
      <c r="D59" s="1">
        <v>45931</v>
      </c>
      <c r="E59">
        <v>19000</v>
      </c>
    </row>
    <row r="60" spans="1:5" x14ac:dyDescent="0.35">
      <c r="A60" t="s">
        <v>68</v>
      </c>
      <c r="B60" t="s">
        <v>69</v>
      </c>
      <c r="C60" t="s">
        <v>28</v>
      </c>
      <c r="D60" s="1">
        <v>45901</v>
      </c>
      <c r="E60">
        <v>40000</v>
      </c>
    </row>
    <row r="61" spans="1:5" x14ac:dyDescent="0.35">
      <c r="A61" t="s">
        <v>48</v>
      </c>
      <c r="B61" t="s">
        <v>49</v>
      </c>
      <c r="C61" t="s">
        <v>28</v>
      </c>
      <c r="D61" s="1">
        <v>45778</v>
      </c>
      <c r="E61">
        <v>112000</v>
      </c>
    </row>
    <row r="62" spans="1:5" x14ac:dyDescent="0.35">
      <c r="A62" t="s">
        <v>70</v>
      </c>
      <c r="B62" t="s">
        <v>71</v>
      </c>
      <c r="C62" t="s">
        <v>13</v>
      </c>
      <c r="D62" s="1">
        <v>45992</v>
      </c>
      <c r="E62">
        <v>9000</v>
      </c>
    </row>
    <row r="63" spans="1:5" x14ac:dyDescent="0.35">
      <c r="A63" t="s">
        <v>19</v>
      </c>
      <c r="B63" t="s">
        <v>20</v>
      </c>
      <c r="C63" t="s">
        <v>28</v>
      </c>
      <c r="D63" s="1">
        <v>45839</v>
      </c>
      <c r="E63">
        <v>79000</v>
      </c>
    </row>
    <row r="64" spans="1:5" x14ac:dyDescent="0.35">
      <c r="A64" t="s">
        <v>53</v>
      </c>
      <c r="B64" t="s">
        <v>54</v>
      </c>
      <c r="C64" t="s">
        <v>65</v>
      </c>
      <c r="D64" s="1">
        <v>45931</v>
      </c>
      <c r="E64">
        <v>40000</v>
      </c>
    </row>
    <row r="65" spans="1:5" x14ac:dyDescent="0.35">
      <c r="A65" t="s">
        <v>72</v>
      </c>
      <c r="B65" t="s">
        <v>73</v>
      </c>
      <c r="C65" t="s">
        <v>65</v>
      </c>
      <c r="D65" s="1">
        <v>45931</v>
      </c>
      <c r="E65">
        <v>33000</v>
      </c>
    </row>
    <row r="66" spans="1:5" x14ac:dyDescent="0.35">
      <c r="A66" t="s">
        <v>43</v>
      </c>
      <c r="B66" t="s">
        <v>44</v>
      </c>
      <c r="C66" t="s">
        <v>28</v>
      </c>
      <c r="D66" s="1">
        <v>45901</v>
      </c>
      <c r="E66">
        <v>70000</v>
      </c>
    </row>
    <row r="67" spans="1:5" x14ac:dyDescent="0.35">
      <c r="A67" t="s">
        <v>74</v>
      </c>
      <c r="B67" t="s">
        <v>75</v>
      </c>
      <c r="C67" t="s">
        <v>28</v>
      </c>
      <c r="D67" s="1">
        <v>45809</v>
      </c>
      <c r="E67">
        <v>155000</v>
      </c>
    </row>
    <row r="68" spans="1:5" x14ac:dyDescent="0.35">
      <c r="A68" t="s">
        <v>60</v>
      </c>
      <c r="B68" t="s">
        <v>61</v>
      </c>
      <c r="C68" t="s">
        <v>65</v>
      </c>
      <c r="D68" s="1">
        <v>45809</v>
      </c>
      <c r="E68">
        <v>23000</v>
      </c>
    </row>
    <row r="69" spans="1:5" x14ac:dyDescent="0.35">
      <c r="A69" t="s">
        <v>17</v>
      </c>
      <c r="B69" t="s">
        <v>18</v>
      </c>
      <c r="C69" t="s">
        <v>13</v>
      </c>
      <c r="D69" s="1">
        <v>45809</v>
      </c>
      <c r="E69">
        <v>10000</v>
      </c>
    </row>
    <row r="70" spans="1:5" x14ac:dyDescent="0.35">
      <c r="A70" t="s">
        <v>26</v>
      </c>
      <c r="B70" t="s">
        <v>27</v>
      </c>
      <c r="C70" t="s">
        <v>21</v>
      </c>
      <c r="D70" s="1">
        <v>45870</v>
      </c>
      <c r="E70">
        <v>10000</v>
      </c>
    </row>
    <row r="71" spans="1:5" x14ac:dyDescent="0.35">
      <c r="A71" t="s">
        <v>33</v>
      </c>
      <c r="B71" t="s">
        <v>34</v>
      </c>
      <c r="C71" t="s">
        <v>10</v>
      </c>
      <c r="D71" s="1">
        <v>45992</v>
      </c>
      <c r="E71">
        <v>17000</v>
      </c>
    </row>
    <row r="72" spans="1:5" x14ac:dyDescent="0.35">
      <c r="A72" t="s">
        <v>60</v>
      </c>
      <c r="B72" t="s">
        <v>76</v>
      </c>
      <c r="C72" t="s">
        <v>21</v>
      </c>
      <c r="D72" s="1">
        <v>45658</v>
      </c>
      <c r="E72">
        <v>18000</v>
      </c>
    </row>
    <row r="73" spans="1:5" x14ac:dyDescent="0.35">
      <c r="A73" t="s">
        <v>17</v>
      </c>
      <c r="B73" t="s">
        <v>18</v>
      </c>
      <c r="C73" t="s">
        <v>21</v>
      </c>
      <c r="D73" s="1">
        <v>45931</v>
      </c>
      <c r="E73">
        <v>10000</v>
      </c>
    </row>
    <row r="74" spans="1:5" x14ac:dyDescent="0.35">
      <c r="A74" t="s">
        <v>48</v>
      </c>
      <c r="B74" t="s">
        <v>49</v>
      </c>
      <c r="C74" t="s">
        <v>65</v>
      </c>
      <c r="D74" s="1">
        <v>45809</v>
      </c>
      <c r="E74">
        <v>26000</v>
      </c>
    </row>
    <row r="75" spans="1:5" x14ac:dyDescent="0.35">
      <c r="A75" t="s">
        <v>74</v>
      </c>
      <c r="B75" t="s">
        <v>75</v>
      </c>
      <c r="C75" t="s">
        <v>16</v>
      </c>
      <c r="D75" s="1">
        <v>45627</v>
      </c>
      <c r="E75">
        <v>120000</v>
      </c>
    </row>
    <row r="76" spans="1:5" x14ac:dyDescent="0.35">
      <c r="A76" t="s">
        <v>31</v>
      </c>
      <c r="B76" t="s">
        <v>32</v>
      </c>
      <c r="C76" t="s">
        <v>28</v>
      </c>
      <c r="D76" s="1">
        <v>45689</v>
      </c>
      <c r="E76">
        <v>77000</v>
      </c>
    </row>
    <row r="77" spans="1:5" x14ac:dyDescent="0.35">
      <c r="A77" t="s">
        <v>19</v>
      </c>
      <c r="B77" t="s">
        <v>20</v>
      </c>
      <c r="C77" t="s">
        <v>16</v>
      </c>
      <c r="D77" s="1">
        <v>45778</v>
      </c>
      <c r="E77">
        <v>79000</v>
      </c>
    </row>
    <row r="78" spans="1:5" x14ac:dyDescent="0.35">
      <c r="A78" t="s">
        <v>5</v>
      </c>
      <c r="B78" t="s">
        <v>6</v>
      </c>
      <c r="C78" t="s">
        <v>50</v>
      </c>
      <c r="D78" s="1">
        <v>45809</v>
      </c>
      <c r="E78">
        <v>19000</v>
      </c>
    </row>
    <row r="79" spans="1:5" x14ac:dyDescent="0.35">
      <c r="A79" t="s">
        <v>39</v>
      </c>
      <c r="B79" t="s">
        <v>40</v>
      </c>
      <c r="C79" t="s">
        <v>7</v>
      </c>
      <c r="D79" s="1">
        <v>45809</v>
      </c>
      <c r="E79">
        <v>31000</v>
      </c>
    </row>
    <row r="80" spans="1:5" x14ac:dyDescent="0.35">
      <c r="A80" t="s">
        <v>24</v>
      </c>
      <c r="B80" t="s">
        <v>45</v>
      </c>
      <c r="C80" t="s">
        <v>10</v>
      </c>
      <c r="D80" s="1">
        <v>45901</v>
      </c>
      <c r="E80">
        <v>38000</v>
      </c>
    </row>
    <row r="81" spans="1:5" x14ac:dyDescent="0.35">
      <c r="A81" t="s">
        <v>66</v>
      </c>
      <c r="B81" t="s">
        <v>67</v>
      </c>
      <c r="C81" t="s">
        <v>16</v>
      </c>
      <c r="D81" s="1">
        <v>45870</v>
      </c>
      <c r="E81">
        <v>95000</v>
      </c>
    </row>
    <row r="82" spans="1:5" x14ac:dyDescent="0.35">
      <c r="A82" t="s">
        <v>19</v>
      </c>
      <c r="B82" t="s">
        <v>20</v>
      </c>
      <c r="C82" t="s">
        <v>21</v>
      </c>
      <c r="D82" s="1">
        <v>45870</v>
      </c>
      <c r="E82">
        <v>10000</v>
      </c>
    </row>
    <row r="83" spans="1:5" x14ac:dyDescent="0.35">
      <c r="A83" t="s">
        <v>29</v>
      </c>
      <c r="B83" t="s">
        <v>46</v>
      </c>
      <c r="C83" t="s">
        <v>28</v>
      </c>
      <c r="D83" s="1">
        <v>45658</v>
      </c>
      <c r="E83">
        <v>60000</v>
      </c>
    </row>
    <row r="84" spans="1:5" x14ac:dyDescent="0.35">
      <c r="A84" t="s">
        <v>11</v>
      </c>
      <c r="B84" t="s">
        <v>59</v>
      </c>
      <c r="C84" t="s">
        <v>28</v>
      </c>
      <c r="D84" s="1">
        <v>45931</v>
      </c>
      <c r="E84">
        <v>118000</v>
      </c>
    </row>
    <row r="85" spans="1:5" x14ac:dyDescent="0.35">
      <c r="A85" t="s">
        <v>19</v>
      </c>
      <c r="B85" t="s">
        <v>77</v>
      </c>
      <c r="C85" t="s">
        <v>13</v>
      </c>
      <c r="D85" s="1">
        <v>45809</v>
      </c>
      <c r="E85">
        <v>10000</v>
      </c>
    </row>
    <row r="86" spans="1:5" x14ac:dyDescent="0.35">
      <c r="A86" t="s">
        <v>41</v>
      </c>
      <c r="B86" t="s">
        <v>42</v>
      </c>
      <c r="C86" t="s">
        <v>16</v>
      </c>
      <c r="D86" s="1">
        <v>45839</v>
      </c>
      <c r="E86">
        <v>102000</v>
      </c>
    </row>
    <row r="87" spans="1:5" x14ac:dyDescent="0.35">
      <c r="A87" t="s">
        <v>70</v>
      </c>
      <c r="B87" t="s">
        <v>71</v>
      </c>
      <c r="C87" t="s">
        <v>16</v>
      </c>
      <c r="D87" s="1">
        <v>45809</v>
      </c>
      <c r="E87">
        <v>85000</v>
      </c>
    </row>
    <row r="88" spans="1:5" x14ac:dyDescent="0.35">
      <c r="A88" t="s">
        <v>60</v>
      </c>
      <c r="B88" t="s">
        <v>61</v>
      </c>
      <c r="C88" t="s">
        <v>16</v>
      </c>
      <c r="D88" s="1">
        <v>45992</v>
      </c>
      <c r="E88">
        <v>35000</v>
      </c>
    </row>
    <row r="89" spans="1:5" x14ac:dyDescent="0.35">
      <c r="A89" t="s">
        <v>11</v>
      </c>
      <c r="B89" t="s">
        <v>59</v>
      </c>
      <c r="C89" t="s">
        <v>7</v>
      </c>
      <c r="D89" s="1">
        <v>45992</v>
      </c>
      <c r="E89">
        <v>39000</v>
      </c>
    </row>
    <row r="90" spans="1:5" x14ac:dyDescent="0.35">
      <c r="A90" t="s">
        <v>22</v>
      </c>
      <c r="B90" t="s">
        <v>23</v>
      </c>
      <c r="C90" t="s">
        <v>28</v>
      </c>
      <c r="D90" s="1">
        <v>45870</v>
      </c>
      <c r="E90">
        <v>132000</v>
      </c>
    </row>
    <row r="91" spans="1:5" x14ac:dyDescent="0.35">
      <c r="A91" t="s">
        <v>68</v>
      </c>
      <c r="B91" t="s">
        <v>69</v>
      </c>
      <c r="C91" t="s">
        <v>28</v>
      </c>
      <c r="D91" s="1">
        <v>45809</v>
      </c>
      <c r="E91">
        <v>35000</v>
      </c>
    </row>
    <row r="92" spans="1:5" x14ac:dyDescent="0.35">
      <c r="A92" t="s">
        <v>8</v>
      </c>
      <c r="B92" t="s">
        <v>9</v>
      </c>
      <c r="C92" t="s">
        <v>28</v>
      </c>
      <c r="D92" s="1">
        <v>45931</v>
      </c>
      <c r="E92">
        <v>70000</v>
      </c>
    </row>
    <row r="93" spans="1:5" x14ac:dyDescent="0.35">
      <c r="A93" t="s">
        <v>78</v>
      </c>
      <c r="B93" t="s">
        <v>79</v>
      </c>
      <c r="C93" t="s">
        <v>16</v>
      </c>
      <c r="D93" s="1">
        <v>45778</v>
      </c>
      <c r="E93">
        <v>49000</v>
      </c>
    </row>
    <row r="94" spans="1:5" x14ac:dyDescent="0.35">
      <c r="A94" t="s">
        <v>78</v>
      </c>
      <c r="B94" t="s">
        <v>80</v>
      </c>
      <c r="C94" t="s">
        <v>10</v>
      </c>
      <c r="D94" s="1">
        <v>45931</v>
      </c>
      <c r="E94">
        <v>17000</v>
      </c>
    </row>
    <row r="95" spans="1:5" x14ac:dyDescent="0.35">
      <c r="A95" t="s">
        <v>41</v>
      </c>
      <c r="B95" t="s">
        <v>42</v>
      </c>
      <c r="C95" t="s">
        <v>10</v>
      </c>
      <c r="D95" s="1">
        <v>45931</v>
      </c>
      <c r="E95">
        <v>17000</v>
      </c>
    </row>
    <row r="96" spans="1:5" x14ac:dyDescent="0.35">
      <c r="A96" t="s">
        <v>35</v>
      </c>
      <c r="B96" t="s">
        <v>81</v>
      </c>
      <c r="C96" t="s">
        <v>10</v>
      </c>
      <c r="D96" s="1">
        <v>45962</v>
      </c>
      <c r="E96">
        <v>13000</v>
      </c>
    </row>
    <row r="97" spans="1:5" x14ac:dyDescent="0.35">
      <c r="A97" t="s">
        <v>19</v>
      </c>
      <c r="B97" t="s">
        <v>20</v>
      </c>
      <c r="C97" t="s">
        <v>28</v>
      </c>
      <c r="D97" s="1">
        <v>45901</v>
      </c>
      <c r="E97">
        <v>79000</v>
      </c>
    </row>
    <row r="98" spans="1:5" x14ac:dyDescent="0.35">
      <c r="A98" t="s">
        <v>48</v>
      </c>
      <c r="B98" t="s">
        <v>49</v>
      </c>
      <c r="C98" t="s">
        <v>16</v>
      </c>
      <c r="D98" s="1">
        <v>45748</v>
      </c>
      <c r="E98" s="2" t="s">
        <v>82</v>
      </c>
    </row>
    <row r="99" spans="1:5" x14ac:dyDescent="0.35">
      <c r="A99" t="s">
        <v>48</v>
      </c>
      <c r="B99" t="s">
        <v>49</v>
      </c>
      <c r="C99" t="s">
        <v>28</v>
      </c>
      <c r="D99" s="1">
        <v>45931</v>
      </c>
      <c r="E99">
        <v>112000</v>
      </c>
    </row>
    <row r="100" spans="1:5" x14ac:dyDescent="0.35">
      <c r="A100" t="s">
        <v>26</v>
      </c>
      <c r="B100" t="s">
        <v>27</v>
      </c>
      <c r="C100" t="s">
        <v>28</v>
      </c>
      <c r="D100" s="1">
        <v>45870</v>
      </c>
      <c r="E100">
        <v>72000</v>
      </c>
    </row>
    <row r="101" spans="1:5" x14ac:dyDescent="0.35">
      <c r="A101" t="s">
        <v>19</v>
      </c>
      <c r="B101" t="s">
        <v>20</v>
      </c>
      <c r="C101" t="s">
        <v>16</v>
      </c>
      <c r="D101" s="1">
        <v>45962</v>
      </c>
      <c r="E101">
        <v>90000</v>
      </c>
    </row>
    <row r="102" spans="1:5" x14ac:dyDescent="0.35">
      <c r="A102" t="s">
        <v>68</v>
      </c>
      <c r="B102" t="s">
        <v>69</v>
      </c>
      <c r="C102" t="s">
        <v>16</v>
      </c>
      <c r="D102" s="1">
        <v>45870</v>
      </c>
      <c r="E102" s="2" t="s">
        <v>83</v>
      </c>
    </row>
    <row r="103" spans="1:5" x14ac:dyDescent="0.35">
      <c r="A103" t="s">
        <v>60</v>
      </c>
      <c r="B103" t="s">
        <v>61</v>
      </c>
      <c r="C103" t="s">
        <v>10</v>
      </c>
      <c r="D103" s="1">
        <v>45992</v>
      </c>
      <c r="E103">
        <v>23000</v>
      </c>
    </row>
    <row r="104" spans="1:5" x14ac:dyDescent="0.35">
      <c r="A104" t="s">
        <v>68</v>
      </c>
      <c r="B104" t="s">
        <v>69</v>
      </c>
      <c r="C104" t="s">
        <v>21</v>
      </c>
      <c r="D104" s="1">
        <v>45992</v>
      </c>
      <c r="E104">
        <v>19000</v>
      </c>
    </row>
    <row r="105" spans="1:5" x14ac:dyDescent="0.35">
      <c r="A105" t="s">
        <v>22</v>
      </c>
      <c r="B105" t="s">
        <v>23</v>
      </c>
      <c r="C105" t="s">
        <v>16</v>
      </c>
      <c r="D105" s="1">
        <v>45778</v>
      </c>
      <c r="E105">
        <v>111000</v>
      </c>
    </row>
    <row r="106" spans="1:5" x14ac:dyDescent="0.35">
      <c r="A106" t="s">
        <v>5</v>
      </c>
      <c r="B106" t="s">
        <v>6</v>
      </c>
      <c r="C106" t="s">
        <v>28</v>
      </c>
      <c r="D106" s="1">
        <v>45962</v>
      </c>
      <c r="E106">
        <v>97000</v>
      </c>
    </row>
    <row r="107" spans="1:5" x14ac:dyDescent="0.35">
      <c r="A107" t="s">
        <v>19</v>
      </c>
      <c r="B107" t="s">
        <v>20</v>
      </c>
      <c r="C107" t="s">
        <v>10</v>
      </c>
      <c r="D107" s="1">
        <v>45931</v>
      </c>
      <c r="E107">
        <v>30000</v>
      </c>
    </row>
    <row r="108" spans="1:5" x14ac:dyDescent="0.35">
      <c r="A108" t="s">
        <v>48</v>
      </c>
      <c r="B108" t="s">
        <v>49</v>
      </c>
      <c r="C108" t="s">
        <v>10</v>
      </c>
      <c r="D108" s="1">
        <v>45658</v>
      </c>
      <c r="E108">
        <v>26000</v>
      </c>
    </row>
    <row r="109" spans="1:5" x14ac:dyDescent="0.35">
      <c r="A109" t="s">
        <v>24</v>
      </c>
      <c r="B109" t="s">
        <v>45</v>
      </c>
      <c r="C109" t="s">
        <v>10</v>
      </c>
      <c r="D109" s="1">
        <v>45778</v>
      </c>
      <c r="E109">
        <v>38000</v>
      </c>
    </row>
    <row r="110" spans="1:5" x14ac:dyDescent="0.35">
      <c r="A110" t="s">
        <v>60</v>
      </c>
      <c r="B110" t="s">
        <v>61</v>
      </c>
      <c r="C110" t="s">
        <v>21</v>
      </c>
      <c r="D110" s="1">
        <v>45870</v>
      </c>
      <c r="E110">
        <v>18000</v>
      </c>
    </row>
    <row r="111" spans="1:5" x14ac:dyDescent="0.35">
      <c r="A111" t="s">
        <v>43</v>
      </c>
      <c r="B111" t="s">
        <v>44</v>
      </c>
      <c r="C111" t="s">
        <v>21</v>
      </c>
      <c r="D111" s="1">
        <v>45962</v>
      </c>
      <c r="E111">
        <v>27000</v>
      </c>
    </row>
    <row r="112" spans="1:5" x14ac:dyDescent="0.35">
      <c r="A112" t="s">
        <v>84</v>
      </c>
      <c r="B112" t="s">
        <v>85</v>
      </c>
      <c r="C112" t="s">
        <v>28</v>
      </c>
      <c r="D112" s="1">
        <v>45962</v>
      </c>
      <c r="E112">
        <v>44000</v>
      </c>
    </row>
    <row r="113" spans="1:5" x14ac:dyDescent="0.35">
      <c r="A113" t="s">
        <v>57</v>
      </c>
      <c r="B113" t="s">
        <v>58</v>
      </c>
      <c r="C113" t="s">
        <v>21</v>
      </c>
      <c r="D113" s="1">
        <v>45839</v>
      </c>
      <c r="E113">
        <v>20000</v>
      </c>
    </row>
    <row r="114" spans="1:5" x14ac:dyDescent="0.35">
      <c r="A114" t="s">
        <v>43</v>
      </c>
      <c r="B114" t="s">
        <v>44</v>
      </c>
      <c r="C114" t="s">
        <v>28</v>
      </c>
      <c r="D114" s="1">
        <v>45717</v>
      </c>
      <c r="E114" s="2" t="s">
        <v>86</v>
      </c>
    </row>
    <row r="115" spans="1:5" x14ac:dyDescent="0.35">
      <c r="A115" t="s">
        <v>39</v>
      </c>
      <c r="B115" t="s">
        <v>40</v>
      </c>
      <c r="C115" t="s">
        <v>10</v>
      </c>
      <c r="D115" s="1">
        <v>45839</v>
      </c>
      <c r="E115">
        <v>31000</v>
      </c>
    </row>
    <row r="116" spans="1:5" x14ac:dyDescent="0.35">
      <c r="A116" t="s">
        <v>72</v>
      </c>
      <c r="B116" t="s">
        <v>73</v>
      </c>
      <c r="C116" t="s">
        <v>7</v>
      </c>
      <c r="D116" s="1">
        <v>45901</v>
      </c>
      <c r="E116">
        <v>33000</v>
      </c>
    </row>
    <row r="117" spans="1:5" x14ac:dyDescent="0.35">
      <c r="A117" t="s">
        <v>66</v>
      </c>
      <c r="B117" t="s">
        <v>67</v>
      </c>
      <c r="C117" t="s">
        <v>21</v>
      </c>
      <c r="D117" s="1">
        <v>45992</v>
      </c>
      <c r="E117">
        <v>25000</v>
      </c>
    </row>
    <row r="118" spans="1:5" x14ac:dyDescent="0.35">
      <c r="A118" t="s">
        <v>53</v>
      </c>
      <c r="B118" t="s">
        <v>54</v>
      </c>
      <c r="C118" t="s">
        <v>28</v>
      </c>
      <c r="D118" s="1">
        <v>45717</v>
      </c>
      <c r="E118">
        <v>63000</v>
      </c>
    </row>
    <row r="119" spans="1:5" x14ac:dyDescent="0.35">
      <c r="A119" t="s">
        <v>5</v>
      </c>
      <c r="B119" t="s">
        <v>6</v>
      </c>
      <c r="C119" t="s">
        <v>21</v>
      </c>
      <c r="D119" s="1">
        <v>45992</v>
      </c>
      <c r="E119">
        <v>19000</v>
      </c>
    </row>
    <row r="120" spans="1:5" x14ac:dyDescent="0.35">
      <c r="A120" t="s">
        <v>87</v>
      </c>
      <c r="B120" t="s">
        <v>88</v>
      </c>
      <c r="C120" t="s">
        <v>28</v>
      </c>
      <c r="D120" s="1">
        <v>45658</v>
      </c>
      <c r="E120">
        <v>73000</v>
      </c>
    </row>
    <row r="121" spans="1:5" x14ac:dyDescent="0.35">
      <c r="A121" t="s">
        <v>17</v>
      </c>
      <c r="B121" t="s">
        <v>18</v>
      </c>
      <c r="C121" t="s">
        <v>28</v>
      </c>
      <c r="D121" s="1">
        <v>45901</v>
      </c>
      <c r="E121">
        <v>90000</v>
      </c>
    </row>
    <row r="122" spans="1:5" x14ac:dyDescent="0.35">
      <c r="A122" t="s">
        <v>72</v>
      </c>
      <c r="B122" t="s">
        <v>73</v>
      </c>
      <c r="C122" t="s">
        <v>10</v>
      </c>
      <c r="D122" s="1">
        <v>45809</v>
      </c>
      <c r="E122">
        <v>27000</v>
      </c>
    </row>
    <row r="123" spans="1:5" x14ac:dyDescent="0.35">
      <c r="A123" t="s">
        <v>48</v>
      </c>
      <c r="B123" t="s">
        <v>49</v>
      </c>
      <c r="C123" t="s">
        <v>13</v>
      </c>
      <c r="D123" s="1">
        <v>45992</v>
      </c>
      <c r="E123">
        <v>11000</v>
      </c>
    </row>
    <row r="124" spans="1:5" x14ac:dyDescent="0.35">
      <c r="A124" t="s">
        <v>41</v>
      </c>
      <c r="B124" t="s">
        <v>42</v>
      </c>
      <c r="C124" t="s">
        <v>21</v>
      </c>
      <c r="D124" s="1">
        <v>45658</v>
      </c>
      <c r="E124">
        <v>22000</v>
      </c>
    </row>
    <row r="125" spans="1:5" x14ac:dyDescent="0.35">
      <c r="A125" t="s">
        <v>17</v>
      </c>
      <c r="B125" t="s">
        <v>18</v>
      </c>
      <c r="C125" t="s">
        <v>21</v>
      </c>
      <c r="D125" s="1">
        <v>45870</v>
      </c>
      <c r="E125">
        <v>10000</v>
      </c>
    </row>
    <row r="126" spans="1:5" x14ac:dyDescent="0.35">
      <c r="A126" t="s">
        <v>35</v>
      </c>
      <c r="B126" t="s">
        <v>81</v>
      </c>
      <c r="C126" t="s">
        <v>10</v>
      </c>
      <c r="D126" s="1">
        <v>45901</v>
      </c>
      <c r="E126">
        <v>13000</v>
      </c>
    </row>
    <row r="127" spans="1:5" x14ac:dyDescent="0.35">
      <c r="A127" t="s">
        <v>22</v>
      </c>
      <c r="B127" t="s">
        <v>23</v>
      </c>
      <c r="C127" t="s">
        <v>10</v>
      </c>
      <c r="D127" s="1">
        <v>45839</v>
      </c>
      <c r="E127">
        <v>15000</v>
      </c>
    </row>
    <row r="128" spans="1:5" x14ac:dyDescent="0.35">
      <c r="A128" t="s">
        <v>89</v>
      </c>
      <c r="B128" t="s">
        <v>90</v>
      </c>
      <c r="C128" t="s">
        <v>16</v>
      </c>
      <c r="D128" s="1">
        <v>45992</v>
      </c>
      <c r="E128">
        <v>71000</v>
      </c>
    </row>
    <row r="129" spans="1:5" x14ac:dyDescent="0.35">
      <c r="A129" t="s">
        <v>17</v>
      </c>
      <c r="B129" t="s">
        <v>18</v>
      </c>
      <c r="C129" t="s">
        <v>21</v>
      </c>
      <c r="D129" s="1">
        <v>45901</v>
      </c>
      <c r="E129">
        <v>10000</v>
      </c>
    </row>
    <row r="130" spans="1:5" x14ac:dyDescent="0.35">
      <c r="A130" t="s">
        <v>87</v>
      </c>
      <c r="B130" t="s">
        <v>88</v>
      </c>
      <c r="C130" t="s">
        <v>28</v>
      </c>
      <c r="D130" s="1">
        <v>45689</v>
      </c>
      <c r="E130">
        <v>73000</v>
      </c>
    </row>
    <row r="131" spans="1:5" x14ac:dyDescent="0.35">
      <c r="A131" t="s">
        <v>74</v>
      </c>
      <c r="B131" t="s">
        <v>75</v>
      </c>
      <c r="C131" t="s">
        <v>16</v>
      </c>
      <c r="D131" s="1">
        <v>45901</v>
      </c>
      <c r="E131">
        <v>155000</v>
      </c>
    </row>
    <row r="132" spans="1:5" x14ac:dyDescent="0.35">
      <c r="A132" t="s">
        <v>35</v>
      </c>
      <c r="B132" t="s">
        <v>36</v>
      </c>
      <c r="C132" t="s">
        <v>16</v>
      </c>
      <c r="D132" s="1">
        <v>45992</v>
      </c>
      <c r="E132">
        <v>33000</v>
      </c>
    </row>
    <row r="133" spans="1:5" x14ac:dyDescent="0.35">
      <c r="A133" t="s">
        <v>72</v>
      </c>
      <c r="B133" t="s">
        <v>73</v>
      </c>
      <c r="C133" t="s">
        <v>16</v>
      </c>
      <c r="D133" s="1">
        <v>45778</v>
      </c>
      <c r="E133">
        <v>117000</v>
      </c>
    </row>
    <row r="134" spans="1:5" x14ac:dyDescent="0.35">
      <c r="A134" t="s">
        <v>11</v>
      </c>
      <c r="B134" t="s">
        <v>59</v>
      </c>
      <c r="C134" t="s">
        <v>21</v>
      </c>
      <c r="D134" s="1">
        <v>45717</v>
      </c>
      <c r="E134">
        <v>24000</v>
      </c>
    </row>
    <row r="135" spans="1:5" x14ac:dyDescent="0.35">
      <c r="A135" t="s">
        <v>43</v>
      </c>
      <c r="B135" t="s">
        <v>44</v>
      </c>
      <c r="C135" t="s">
        <v>16</v>
      </c>
      <c r="D135" s="1">
        <v>45778</v>
      </c>
      <c r="E135">
        <v>70000</v>
      </c>
    </row>
    <row r="136" spans="1:5" x14ac:dyDescent="0.35">
      <c r="A136" t="s">
        <v>19</v>
      </c>
      <c r="B136" t="s">
        <v>20</v>
      </c>
      <c r="C136" t="s">
        <v>65</v>
      </c>
      <c r="D136" s="1">
        <v>45689</v>
      </c>
      <c r="E136">
        <v>30000</v>
      </c>
    </row>
    <row r="137" spans="1:5" x14ac:dyDescent="0.35">
      <c r="A137" t="s">
        <v>60</v>
      </c>
      <c r="B137" t="s">
        <v>61</v>
      </c>
      <c r="C137" t="s">
        <v>16</v>
      </c>
      <c r="D137" s="1">
        <v>45627</v>
      </c>
      <c r="E137">
        <v>35000</v>
      </c>
    </row>
    <row r="138" spans="1:5" x14ac:dyDescent="0.35">
      <c r="A138" t="s">
        <v>43</v>
      </c>
      <c r="B138" t="s">
        <v>44</v>
      </c>
      <c r="C138" t="s">
        <v>21</v>
      </c>
      <c r="D138" s="1">
        <v>45717</v>
      </c>
      <c r="E138">
        <v>27000</v>
      </c>
    </row>
    <row r="139" spans="1:5" x14ac:dyDescent="0.35">
      <c r="A139" t="s">
        <v>72</v>
      </c>
      <c r="B139" t="s">
        <v>73</v>
      </c>
      <c r="C139" t="s">
        <v>16</v>
      </c>
      <c r="D139" s="1">
        <v>45748</v>
      </c>
      <c r="E139">
        <v>117000</v>
      </c>
    </row>
    <row r="140" spans="1:5" x14ac:dyDescent="0.35">
      <c r="A140" t="s">
        <v>57</v>
      </c>
      <c r="B140" t="s">
        <v>58</v>
      </c>
      <c r="C140" t="s">
        <v>28</v>
      </c>
      <c r="D140" s="1">
        <v>45870</v>
      </c>
      <c r="E140">
        <v>52000</v>
      </c>
    </row>
    <row r="141" spans="1:5" x14ac:dyDescent="0.35">
      <c r="A141" t="s">
        <v>91</v>
      </c>
      <c r="B141" t="s">
        <v>92</v>
      </c>
      <c r="C141" t="s">
        <v>28</v>
      </c>
      <c r="D141" s="1">
        <v>45839</v>
      </c>
      <c r="E141">
        <v>105000</v>
      </c>
    </row>
    <row r="142" spans="1:5" x14ac:dyDescent="0.35">
      <c r="A142" t="s">
        <v>70</v>
      </c>
      <c r="B142" t="s">
        <v>71</v>
      </c>
      <c r="C142" t="s">
        <v>21</v>
      </c>
      <c r="D142" s="1">
        <v>45962</v>
      </c>
      <c r="E142">
        <v>9000</v>
      </c>
    </row>
    <row r="143" spans="1:5" x14ac:dyDescent="0.35">
      <c r="A143" t="s">
        <v>37</v>
      </c>
      <c r="B143" t="s">
        <v>38</v>
      </c>
      <c r="C143" t="s">
        <v>28</v>
      </c>
      <c r="D143" s="1">
        <v>45809</v>
      </c>
      <c r="E143">
        <v>88000</v>
      </c>
    </row>
    <row r="144" spans="1:5" x14ac:dyDescent="0.35">
      <c r="A144" t="s">
        <v>17</v>
      </c>
      <c r="B144" t="s">
        <v>18</v>
      </c>
      <c r="C144" t="s">
        <v>28</v>
      </c>
      <c r="D144" s="1">
        <v>45748</v>
      </c>
      <c r="E144">
        <v>90000</v>
      </c>
    </row>
    <row r="145" spans="1:5" x14ac:dyDescent="0.35">
      <c r="A145" t="s">
        <v>72</v>
      </c>
      <c r="B145" t="s">
        <v>73</v>
      </c>
      <c r="C145" t="s">
        <v>21</v>
      </c>
      <c r="D145" s="1">
        <v>45901</v>
      </c>
      <c r="E145">
        <v>16000</v>
      </c>
    </row>
    <row r="146" spans="1:5" x14ac:dyDescent="0.35">
      <c r="A146" t="s">
        <v>53</v>
      </c>
      <c r="B146" t="s">
        <v>54</v>
      </c>
      <c r="C146" t="s">
        <v>16</v>
      </c>
      <c r="D146" s="1">
        <v>45658</v>
      </c>
      <c r="E146">
        <v>63000</v>
      </c>
    </row>
    <row r="147" spans="1:5" x14ac:dyDescent="0.35">
      <c r="A147" t="s">
        <v>33</v>
      </c>
      <c r="B147" t="s">
        <v>34</v>
      </c>
      <c r="C147" t="s">
        <v>10</v>
      </c>
      <c r="D147" s="1">
        <v>45901</v>
      </c>
      <c r="E147">
        <v>17000</v>
      </c>
    </row>
    <row r="148" spans="1:5" x14ac:dyDescent="0.35">
      <c r="A148" t="s">
        <v>33</v>
      </c>
      <c r="B148" t="s">
        <v>34</v>
      </c>
      <c r="C148" t="s">
        <v>10</v>
      </c>
      <c r="D148" s="1">
        <v>45962</v>
      </c>
      <c r="E148">
        <v>17000</v>
      </c>
    </row>
    <row r="149" spans="1:5" x14ac:dyDescent="0.35">
      <c r="A149" t="s">
        <v>8</v>
      </c>
      <c r="B149" t="s">
        <v>9</v>
      </c>
      <c r="C149" t="s">
        <v>10</v>
      </c>
      <c r="D149" s="1">
        <v>45809</v>
      </c>
      <c r="E149">
        <v>35000</v>
      </c>
    </row>
    <row r="150" spans="1:5" x14ac:dyDescent="0.35">
      <c r="A150" t="s">
        <v>57</v>
      </c>
      <c r="B150" t="s">
        <v>58</v>
      </c>
      <c r="C150" t="s">
        <v>21</v>
      </c>
      <c r="D150" s="1">
        <v>45809</v>
      </c>
      <c r="E150">
        <v>20000</v>
      </c>
    </row>
    <row r="151" spans="1:5" x14ac:dyDescent="0.35">
      <c r="A151" t="s">
        <v>24</v>
      </c>
      <c r="B151" t="s">
        <v>45</v>
      </c>
      <c r="C151" t="s">
        <v>21</v>
      </c>
      <c r="D151" s="1">
        <v>45839</v>
      </c>
      <c r="E151" t="s">
        <v>93</v>
      </c>
    </row>
    <row r="152" spans="1:5" x14ac:dyDescent="0.35">
      <c r="A152" t="s">
        <v>91</v>
      </c>
      <c r="B152" t="s">
        <v>92</v>
      </c>
      <c r="C152" t="s">
        <v>28</v>
      </c>
      <c r="D152" s="1">
        <v>45809</v>
      </c>
      <c r="E152">
        <v>105000</v>
      </c>
    </row>
    <row r="153" spans="1:5" x14ac:dyDescent="0.35">
      <c r="A153" t="s">
        <v>66</v>
      </c>
      <c r="B153" t="s">
        <v>67</v>
      </c>
      <c r="C153" t="s">
        <v>28</v>
      </c>
      <c r="D153" s="1">
        <v>45962</v>
      </c>
      <c r="E153">
        <v>95000</v>
      </c>
    </row>
    <row r="154" spans="1:5" x14ac:dyDescent="0.35">
      <c r="A154" t="s">
        <v>17</v>
      </c>
      <c r="B154" t="s">
        <v>18</v>
      </c>
      <c r="C154" t="s">
        <v>50</v>
      </c>
      <c r="D154" s="1">
        <v>45992</v>
      </c>
      <c r="E154">
        <v>12000</v>
      </c>
    </row>
    <row r="155" spans="1:5" x14ac:dyDescent="0.35">
      <c r="A155" t="s">
        <v>89</v>
      </c>
      <c r="B155" t="s">
        <v>94</v>
      </c>
      <c r="C155" t="s">
        <v>13</v>
      </c>
      <c r="D155" s="1">
        <v>45931</v>
      </c>
      <c r="E155">
        <v>19000</v>
      </c>
    </row>
    <row r="156" spans="1:5" x14ac:dyDescent="0.35">
      <c r="A156" t="s">
        <v>60</v>
      </c>
      <c r="B156" t="s">
        <v>61</v>
      </c>
      <c r="C156" t="s">
        <v>65</v>
      </c>
      <c r="D156" s="1">
        <v>45870</v>
      </c>
      <c r="E156">
        <v>23000</v>
      </c>
    </row>
    <row r="157" spans="1:5" x14ac:dyDescent="0.35">
      <c r="A157" t="s">
        <v>11</v>
      </c>
      <c r="B157" t="s">
        <v>59</v>
      </c>
      <c r="C157" t="s">
        <v>28</v>
      </c>
      <c r="D157" s="1">
        <v>45809</v>
      </c>
      <c r="E157" t="s">
        <v>95</v>
      </c>
    </row>
    <row r="158" spans="1:5" x14ac:dyDescent="0.35">
      <c r="A158" t="s">
        <v>19</v>
      </c>
      <c r="B158" t="s">
        <v>20</v>
      </c>
      <c r="C158" t="s">
        <v>21</v>
      </c>
      <c r="D158" s="1">
        <v>45962</v>
      </c>
      <c r="E158">
        <v>10000</v>
      </c>
    </row>
    <row r="159" spans="1:5" x14ac:dyDescent="0.35">
      <c r="A159" t="s">
        <v>14</v>
      </c>
      <c r="B159" t="s">
        <v>15</v>
      </c>
      <c r="C159" t="s">
        <v>28</v>
      </c>
      <c r="D159" s="1">
        <v>45809</v>
      </c>
      <c r="E159">
        <v>79000</v>
      </c>
    </row>
    <row r="160" spans="1:5" x14ac:dyDescent="0.35">
      <c r="A160" t="s">
        <v>39</v>
      </c>
      <c r="B160" t="s">
        <v>40</v>
      </c>
      <c r="C160" t="s">
        <v>16</v>
      </c>
      <c r="D160" s="1">
        <v>45992</v>
      </c>
      <c r="E160">
        <v>60000</v>
      </c>
    </row>
    <row r="161" spans="1:5" x14ac:dyDescent="0.35">
      <c r="A161" t="s">
        <v>29</v>
      </c>
      <c r="B161" t="s">
        <v>46</v>
      </c>
      <c r="C161" t="s">
        <v>28</v>
      </c>
      <c r="D161" s="1">
        <v>45901</v>
      </c>
      <c r="E161">
        <v>60000</v>
      </c>
    </row>
    <row r="162" spans="1:5" x14ac:dyDescent="0.35">
      <c r="A162" t="s">
        <v>53</v>
      </c>
      <c r="B162" t="s">
        <v>54</v>
      </c>
      <c r="C162" t="s">
        <v>10</v>
      </c>
      <c r="D162" s="1">
        <v>45901</v>
      </c>
      <c r="E162">
        <v>35000</v>
      </c>
    </row>
    <row r="163" spans="1:5" x14ac:dyDescent="0.35">
      <c r="A163" t="s">
        <v>48</v>
      </c>
      <c r="B163" t="s">
        <v>49</v>
      </c>
      <c r="C163" t="s">
        <v>28</v>
      </c>
      <c r="D163" s="1">
        <v>45627</v>
      </c>
      <c r="E163">
        <v>100000</v>
      </c>
    </row>
    <row r="164" spans="1:5" x14ac:dyDescent="0.35">
      <c r="A164" t="s">
        <v>29</v>
      </c>
      <c r="B164" t="s">
        <v>46</v>
      </c>
      <c r="C164" t="s">
        <v>16</v>
      </c>
      <c r="D164" s="1">
        <v>45962</v>
      </c>
      <c r="E164">
        <v>72000</v>
      </c>
    </row>
    <row r="165" spans="1:5" x14ac:dyDescent="0.35">
      <c r="A165" t="s">
        <v>29</v>
      </c>
      <c r="B165" t="s">
        <v>46</v>
      </c>
      <c r="C165" t="s">
        <v>16</v>
      </c>
      <c r="D165" s="1">
        <v>45778</v>
      </c>
      <c r="E165">
        <v>60000</v>
      </c>
    </row>
    <row r="166" spans="1:5" x14ac:dyDescent="0.35">
      <c r="A166" t="s">
        <v>26</v>
      </c>
      <c r="B166" t="s">
        <v>27</v>
      </c>
      <c r="C166" t="s">
        <v>28</v>
      </c>
      <c r="D166" s="1">
        <v>45627</v>
      </c>
      <c r="E166">
        <v>47000</v>
      </c>
    </row>
    <row r="167" spans="1:5" x14ac:dyDescent="0.35">
      <c r="A167" t="s">
        <v>43</v>
      </c>
      <c r="B167" t="s">
        <v>96</v>
      </c>
      <c r="C167" t="s">
        <v>65</v>
      </c>
      <c r="D167" s="1">
        <v>45992</v>
      </c>
      <c r="E167">
        <v>22000</v>
      </c>
    </row>
    <row r="168" spans="1:5" x14ac:dyDescent="0.35">
      <c r="A168" t="s">
        <v>70</v>
      </c>
      <c r="B168" t="s">
        <v>71</v>
      </c>
      <c r="C168" t="s">
        <v>50</v>
      </c>
      <c r="D168" s="1">
        <v>45839</v>
      </c>
      <c r="E168">
        <v>9000</v>
      </c>
    </row>
    <row r="169" spans="1:5" x14ac:dyDescent="0.35">
      <c r="A169" t="s">
        <v>29</v>
      </c>
      <c r="B169" t="s">
        <v>46</v>
      </c>
      <c r="C169" t="s">
        <v>65</v>
      </c>
      <c r="D169" s="1">
        <v>45778</v>
      </c>
      <c r="E169">
        <v>36000</v>
      </c>
    </row>
    <row r="170" spans="1:5" x14ac:dyDescent="0.35">
      <c r="A170" t="s">
        <v>33</v>
      </c>
      <c r="B170" t="s">
        <v>34</v>
      </c>
      <c r="C170" t="s">
        <v>50</v>
      </c>
      <c r="D170" s="1">
        <v>45962</v>
      </c>
      <c r="E170">
        <v>11000</v>
      </c>
    </row>
    <row r="171" spans="1:5" x14ac:dyDescent="0.35">
      <c r="A171" t="s">
        <v>22</v>
      </c>
      <c r="B171" t="s">
        <v>23</v>
      </c>
      <c r="C171" t="s">
        <v>7</v>
      </c>
      <c r="D171" s="1">
        <v>45901</v>
      </c>
      <c r="E171">
        <v>15000</v>
      </c>
    </row>
    <row r="172" spans="1:5" x14ac:dyDescent="0.35">
      <c r="A172" t="s">
        <v>41</v>
      </c>
      <c r="B172" t="s">
        <v>42</v>
      </c>
      <c r="C172" t="s">
        <v>28</v>
      </c>
      <c r="D172" s="1">
        <v>45689</v>
      </c>
      <c r="E172">
        <v>102000</v>
      </c>
    </row>
    <row r="173" spans="1:5" x14ac:dyDescent="0.35">
      <c r="A173" t="s">
        <v>35</v>
      </c>
      <c r="B173" t="s">
        <v>36</v>
      </c>
      <c r="C173" t="s">
        <v>16</v>
      </c>
      <c r="D173" s="1">
        <v>45931</v>
      </c>
      <c r="E173">
        <v>33000</v>
      </c>
    </row>
    <row r="174" spans="1:5" x14ac:dyDescent="0.35">
      <c r="A174" t="s">
        <v>29</v>
      </c>
      <c r="B174" t="s">
        <v>46</v>
      </c>
      <c r="C174" t="s">
        <v>65</v>
      </c>
      <c r="D174" s="1">
        <v>45658</v>
      </c>
      <c r="E174">
        <v>36000</v>
      </c>
    </row>
    <row r="175" spans="1:5" x14ac:dyDescent="0.35">
      <c r="A175" t="s">
        <v>11</v>
      </c>
      <c r="B175" t="s">
        <v>59</v>
      </c>
      <c r="C175" t="s">
        <v>21</v>
      </c>
      <c r="D175" s="1">
        <v>45658</v>
      </c>
      <c r="E175">
        <v>24000</v>
      </c>
    </row>
    <row r="176" spans="1:5" x14ac:dyDescent="0.35">
      <c r="A176" t="s">
        <v>24</v>
      </c>
      <c r="B176" t="s">
        <v>45</v>
      </c>
      <c r="C176" t="s">
        <v>21</v>
      </c>
      <c r="D176" s="1">
        <v>45809</v>
      </c>
      <c r="E176">
        <v>22000</v>
      </c>
    </row>
    <row r="177" spans="1:5" x14ac:dyDescent="0.35">
      <c r="A177" t="s">
        <v>41</v>
      </c>
      <c r="B177" t="s">
        <v>42</v>
      </c>
      <c r="C177" t="s">
        <v>65</v>
      </c>
      <c r="D177" s="1">
        <v>45778</v>
      </c>
      <c r="E177">
        <v>17000</v>
      </c>
    </row>
    <row r="178" spans="1:5" x14ac:dyDescent="0.35">
      <c r="A178" t="s">
        <v>8</v>
      </c>
      <c r="B178" t="s">
        <v>9</v>
      </c>
      <c r="C178" t="s">
        <v>10</v>
      </c>
      <c r="D178" s="1">
        <v>45839</v>
      </c>
      <c r="E178">
        <v>35000</v>
      </c>
    </row>
    <row r="179" spans="1:5" x14ac:dyDescent="0.35">
      <c r="A179" t="s">
        <v>60</v>
      </c>
      <c r="B179" t="s">
        <v>61</v>
      </c>
      <c r="C179" t="s">
        <v>65</v>
      </c>
      <c r="D179" s="1">
        <v>45901</v>
      </c>
      <c r="E179">
        <v>23000</v>
      </c>
    </row>
    <row r="180" spans="1:5" x14ac:dyDescent="0.35">
      <c r="A180" t="s">
        <v>70</v>
      </c>
      <c r="B180" t="s">
        <v>71</v>
      </c>
      <c r="C180" t="s">
        <v>16</v>
      </c>
      <c r="D180" s="1">
        <v>45778</v>
      </c>
      <c r="E180">
        <v>85000</v>
      </c>
    </row>
    <row r="181" spans="1:5" x14ac:dyDescent="0.35">
      <c r="A181" t="s">
        <v>57</v>
      </c>
      <c r="B181" t="s">
        <v>58</v>
      </c>
      <c r="C181" t="s">
        <v>10</v>
      </c>
      <c r="D181" s="1">
        <v>45962</v>
      </c>
      <c r="E181">
        <v>18000</v>
      </c>
    </row>
    <row r="182" spans="1:5" x14ac:dyDescent="0.35">
      <c r="A182" t="s">
        <v>11</v>
      </c>
      <c r="B182" t="s">
        <v>59</v>
      </c>
      <c r="C182" t="s">
        <v>7</v>
      </c>
      <c r="D182" s="1">
        <v>45839</v>
      </c>
      <c r="E182">
        <v>39000</v>
      </c>
    </row>
    <row r="183" spans="1:5" x14ac:dyDescent="0.35">
      <c r="A183" t="s">
        <v>43</v>
      </c>
      <c r="B183" t="s">
        <v>44</v>
      </c>
      <c r="C183" t="s">
        <v>13</v>
      </c>
      <c r="D183" s="1">
        <v>45839</v>
      </c>
      <c r="E183">
        <v>27000</v>
      </c>
    </row>
    <row r="184" spans="1:5" x14ac:dyDescent="0.35">
      <c r="A184" t="s">
        <v>29</v>
      </c>
      <c r="B184" t="s">
        <v>46</v>
      </c>
      <c r="C184" t="s">
        <v>28</v>
      </c>
      <c r="D184" s="1">
        <v>45870</v>
      </c>
      <c r="E184">
        <v>60000</v>
      </c>
    </row>
    <row r="185" spans="1:5" x14ac:dyDescent="0.35">
      <c r="A185" t="s">
        <v>37</v>
      </c>
      <c r="B185" t="s">
        <v>97</v>
      </c>
      <c r="C185" t="s">
        <v>28</v>
      </c>
      <c r="D185" s="1">
        <v>45870</v>
      </c>
      <c r="E185">
        <v>88000</v>
      </c>
    </row>
    <row r="186" spans="1:5" x14ac:dyDescent="0.35">
      <c r="A186" t="s">
        <v>70</v>
      </c>
      <c r="B186" t="s">
        <v>71</v>
      </c>
      <c r="C186" t="s">
        <v>28</v>
      </c>
      <c r="D186" s="1">
        <v>45962</v>
      </c>
      <c r="E186">
        <v>85000</v>
      </c>
    </row>
    <row r="187" spans="1:5" x14ac:dyDescent="0.35">
      <c r="A187" t="s">
        <v>41</v>
      </c>
      <c r="B187" t="s">
        <v>42</v>
      </c>
      <c r="C187" t="s">
        <v>28</v>
      </c>
      <c r="D187" s="1">
        <v>45931</v>
      </c>
      <c r="E187">
        <v>102000</v>
      </c>
    </row>
    <row r="188" spans="1:5" x14ac:dyDescent="0.35">
      <c r="A188" t="s">
        <v>91</v>
      </c>
      <c r="B188" t="s">
        <v>92</v>
      </c>
      <c r="C188" t="s">
        <v>16</v>
      </c>
      <c r="D188" s="1">
        <v>45931</v>
      </c>
      <c r="E188">
        <v>116000</v>
      </c>
    </row>
    <row r="189" spans="1:5" x14ac:dyDescent="0.35">
      <c r="A189" t="s">
        <v>87</v>
      </c>
      <c r="B189" t="s">
        <v>88</v>
      </c>
      <c r="C189" t="s">
        <v>16</v>
      </c>
      <c r="D189" s="1">
        <v>45901</v>
      </c>
      <c r="E189">
        <v>73000</v>
      </c>
    </row>
    <row r="190" spans="1:5" x14ac:dyDescent="0.35">
      <c r="A190" t="s">
        <v>43</v>
      </c>
      <c r="B190" t="s">
        <v>44</v>
      </c>
      <c r="C190" t="s">
        <v>21</v>
      </c>
      <c r="D190" s="1">
        <v>45689</v>
      </c>
      <c r="E190">
        <v>27000</v>
      </c>
    </row>
    <row r="191" spans="1:5" x14ac:dyDescent="0.35">
      <c r="A191" t="s">
        <v>60</v>
      </c>
      <c r="B191" t="s">
        <v>61</v>
      </c>
      <c r="C191" t="s">
        <v>16</v>
      </c>
      <c r="D191" s="1">
        <v>45717</v>
      </c>
      <c r="E191">
        <v>35000</v>
      </c>
    </row>
    <row r="192" spans="1:5" x14ac:dyDescent="0.35">
      <c r="A192" t="s">
        <v>91</v>
      </c>
      <c r="B192" t="s">
        <v>92</v>
      </c>
      <c r="C192" t="s">
        <v>16</v>
      </c>
      <c r="D192" s="1">
        <v>45901</v>
      </c>
      <c r="E192">
        <v>116000</v>
      </c>
    </row>
    <row r="193" spans="1:5" x14ac:dyDescent="0.35">
      <c r="A193" t="s">
        <v>8</v>
      </c>
      <c r="B193" t="s">
        <v>9</v>
      </c>
      <c r="C193" t="s">
        <v>21</v>
      </c>
      <c r="D193" s="1">
        <v>45809</v>
      </c>
      <c r="E193">
        <v>17000</v>
      </c>
    </row>
    <row r="194" spans="1:5" x14ac:dyDescent="0.35">
      <c r="A194" t="s">
        <v>43</v>
      </c>
      <c r="B194" t="s">
        <v>44</v>
      </c>
      <c r="C194" t="s">
        <v>7</v>
      </c>
      <c r="D194" s="1">
        <v>45658</v>
      </c>
      <c r="E194">
        <v>18000</v>
      </c>
    </row>
    <row r="195" spans="1:5" x14ac:dyDescent="0.35">
      <c r="A195" t="s">
        <v>5</v>
      </c>
      <c r="B195" t="s">
        <v>6</v>
      </c>
      <c r="C195" t="s">
        <v>28</v>
      </c>
      <c r="D195" s="1">
        <v>45992</v>
      </c>
      <c r="E195">
        <v>97000</v>
      </c>
    </row>
    <row r="196" spans="1:5" x14ac:dyDescent="0.35">
      <c r="A196" t="s">
        <v>70</v>
      </c>
      <c r="B196" t="s">
        <v>71</v>
      </c>
      <c r="C196" t="s">
        <v>7</v>
      </c>
      <c r="D196" s="1">
        <v>45901</v>
      </c>
      <c r="E196">
        <v>27000</v>
      </c>
    </row>
    <row r="197" spans="1:5" x14ac:dyDescent="0.35">
      <c r="A197" t="s">
        <v>5</v>
      </c>
      <c r="B197" t="s">
        <v>6</v>
      </c>
      <c r="C197" t="s">
        <v>16</v>
      </c>
      <c r="D197" s="1">
        <v>45658</v>
      </c>
      <c r="E197">
        <v>85000</v>
      </c>
    </row>
    <row r="198" spans="1:5" x14ac:dyDescent="0.35">
      <c r="A198" t="s">
        <v>43</v>
      </c>
      <c r="B198" t="s">
        <v>44</v>
      </c>
      <c r="C198" t="s">
        <v>50</v>
      </c>
      <c r="D198" s="1">
        <v>45870</v>
      </c>
      <c r="E198">
        <v>27000</v>
      </c>
    </row>
    <row r="199" spans="1:5" x14ac:dyDescent="0.35">
      <c r="A199" t="s">
        <v>24</v>
      </c>
      <c r="B199" t="s">
        <v>45</v>
      </c>
      <c r="C199" t="s">
        <v>16</v>
      </c>
      <c r="D199" s="1">
        <v>45778</v>
      </c>
      <c r="E199">
        <v>100000</v>
      </c>
    </row>
    <row r="200" spans="1:5" x14ac:dyDescent="0.35">
      <c r="A200" t="s">
        <v>39</v>
      </c>
      <c r="B200" t="s">
        <v>40</v>
      </c>
      <c r="C200" t="s">
        <v>21</v>
      </c>
      <c r="D200" s="1">
        <v>45839</v>
      </c>
      <c r="E200">
        <v>19000</v>
      </c>
    </row>
    <row r="201" spans="1:5" x14ac:dyDescent="0.35">
      <c r="A201" t="s">
        <v>5</v>
      </c>
      <c r="B201" t="s">
        <v>6</v>
      </c>
      <c r="C201" t="s">
        <v>21</v>
      </c>
      <c r="D201" s="1">
        <v>45717</v>
      </c>
      <c r="E201">
        <v>19000</v>
      </c>
    </row>
    <row r="202" spans="1:5" x14ac:dyDescent="0.35">
      <c r="A202" t="s">
        <v>11</v>
      </c>
      <c r="B202" t="s">
        <v>59</v>
      </c>
      <c r="C202" t="s">
        <v>28</v>
      </c>
      <c r="D202" s="1">
        <v>45778</v>
      </c>
      <c r="E202">
        <v>118000</v>
      </c>
    </row>
    <row r="203" spans="1:5" x14ac:dyDescent="0.35">
      <c r="A203" t="s">
        <v>8</v>
      </c>
      <c r="B203" t="s">
        <v>9</v>
      </c>
      <c r="C203" t="s">
        <v>28</v>
      </c>
      <c r="D203" s="1">
        <v>45992</v>
      </c>
      <c r="E203">
        <v>70000</v>
      </c>
    </row>
    <row r="204" spans="1:5" x14ac:dyDescent="0.35">
      <c r="A204" t="s">
        <v>26</v>
      </c>
      <c r="B204" t="s">
        <v>27</v>
      </c>
      <c r="C204" t="s">
        <v>21</v>
      </c>
      <c r="D204" s="1">
        <v>45992</v>
      </c>
      <c r="E204">
        <v>10000</v>
      </c>
    </row>
    <row r="205" spans="1:5" x14ac:dyDescent="0.35">
      <c r="A205" t="s">
        <v>17</v>
      </c>
      <c r="B205" t="s">
        <v>18</v>
      </c>
      <c r="C205" t="s">
        <v>50</v>
      </c>
      <c r="D205" s="1">
        <v>45658</v>
      </c>
      <c r="E205">
        <v>8000</v>
      </c>
    </row>
    <row r="206" spans="1:5" x14ac:dyDescent="0.35">
      <c r="A206" t="s">
        <v>17</v>
      </c>
      <c r="B206" t="s">
        <v>18</v>
      </c>
      <c r="C206" t="s">
        <v>28</v>
      </c>
      <c r="D206" s="1">
        <v>45717</v>
      </c>
      <c r="E206">
        <v>90000</v>
      </c>
    </row>
    <row r="207" spans="1:5" x14ac:dyDescent="0.35">
      <c r="A207" t="s">
        <v>53</v>
      </c>
      <c r="B207" t="s">
        <v>54</v>
      </c>
      <c r="C207" t="s">
        <v>28</v>
      </c>
      <c r="D207" s="1">
        <v>45901</v>
      </c>
      <c r="E207">
        <v>73000</v>
      </c>
    </row>
    <row r="208" spans="1:5" x14ac:dyDescent="0.35">
      <c r="A208" t="s">
        <v>48</v>
      </c>
      <c r="B208" t="s">
        <v>49</v>
      </c>
      <c r="C208" t="s">
        <v>7</v>
      </c>
      <c r="D208" s="1">
        <v>45748</v>
      </c>
      <c r="E208">
        <v>26000</v>
      </c>
    </row>
    <row r="209" spans="1:5" x14ac:dyDescent="0.35">
      <c r="A209" t="s">
        <v>5</v>
      </c>
      <c r="B209" t="s">
        <v>6</v>
      </c>
      <c r="C209" t="s">
        <v>10</v>
      </c>
      <c r="D209" s="1">
        <v>45778</v>
      </c>
      <c r="E209">
        <v>24000</v>
      </c>
    </row>
    <row r="210" spans="1:5" x14ac:dyDescent="0.35">
      <c r="A210" t="s">
        <v>60</v>
      </c>
      <c r="B210" t="s">
        <v>61</v>
      </c>
      <c r="C210" t="s">
        <v>21</v>
      </c>
      <c r="D210" s="1">
        <v>45962</v>
      </c>
      <c r="E210">
        <v>18000</v>
      </c>
    </row>
    <row r="211" spans="1:5" x14ac:dyDescent="0.35">
      <c r="A211" t="s">
        <v>43</v>
      </c>
      <c r="B211" t="s">
        <v>44</v>
      </c>
      <c r="C211" t="s">
        <v>13</v>
      </c>
      <c r="D211" s="1">
        <v>45658</v>
      </c>
      <c r="E211">
        <v>27000</v>
      </c>
    </row>
    <row r="212" spans="1:5" x14ac:dyDescent="0.35">
      <c r="A212" t="s">
        <v>62</v>
      </c>
      <c r="B212" t="s">
        <v>63</v>
      </c>
      <c r="C212" t="s">
        <v>28</v>
      </c>
      <c r="D212" s="1">
        <v>45809</v>
      </c>
      <c r="E212">
        <v>46000</v>
      </c>
    </row>
    <row r="213" spans="1:5" x14ac:dyDescent="0.35">
      <c r="A213" t="s">
        <v>60</v>
      </c>
      <c r="B213" t="s">
        <v>61</v>
      </c>
      <c r="C213" t="s">
        <v>16</v>
      </c>
      <c r="D213" s="1">
        <v>45931</v>
      </c>
      <c r="E213">
        <v>35000</v>
      </c>
    </row>
    <row r="214" spans="1:5" x14ac:dyDescent="0.35">
      <c r="A214" t="s">
        <v>43</v>
      </c>
      <c r="B214" t="s">
        <v>44</v>
      </c>
      <c r="C214" t="s">
        <v>65</v>
      </c>
      <c r="D214" s="1">
        <v>45717</v>
      </c>
      <c r="E214">
        <v>18000</v>
      </c>
    </row>
    <row r="215" spans="1:5" x14ac:dyDescent="0.35">
      <c r="A215" t="s">
        <v>26</v>
      </c>
      <c r="B215" t="s">
        <v>27</v>
      </c>
      <c r="C215" t="s">
        <v>21</v>
      </c>
      <c r="D215" s="1">
        <v>45931</v>
      </c>
      <c r="E215">
        <v>10000</v>
      </c>
    </row>
    <row r="216" spans="1:5" x14ac:dyDescent="0.35">
      <c r="A216" t="s">
        <v>72</v>
      </c>
      <c r="B216" t="s">
        <v>73</v>
      </c>
      <c r="C216" t="s">
        <v>21</v>
      </c>
      <c r="D216" s="1">
        <v>45992</v>
      </c>
      <c r="E216">
        <v>16000</v>
      </c>
    </row>
    <row r="217" spans="1:5" x14ac:dyDescent="0.35">
      <c r="A217" t="s">
        <v>43</v>
      </c>
      <c r="B217" t="s">
        <v>44</v>
      </c>
      <c r="C217" t="s">
        <v>21</v>
      </c>
      <c r="D217" s="1">
        <v>45748</v>
      </c>
      <c r="E217">
        <v>27000</v>
      </c>
    </row>
    <row r="218" spans="1:5" x14ac:dyDescent="0.35">
      <c r="A218" t="s">
        <v>84</v>
      </c>
      <c r="B218" t="s">
        <v>85</v>
      </c>
      <c r="C218" t="s">
        <v>16</v>
      </c>
      <c r="D218" s="1">
        <v>45870</v>
      </c>
      <c r="E218" t="s">
        <v>98</v>
      </c>
    </row>
    <row r="219" spans="1:5" x14ac:dyDescent="0.35">
      <c r="A219" t="s">
        <v>72</v>
      </c>
      <c r="B219" t="s">
        <v>73</v>
      </c>
      <c r="C219" t="s">
        <v>28</v>
      </c>
      <c r="D219" s="1">
        <v>45717</v>
      </c>
      <c r="E219">
        <v>117000</v>
      </c>
    </row>
    <row r="220" spans="1:5" x14ac:dyDescent="0.35">
      <c r="A220" t="s">
        <v>29</v>
      </c>
      <c r="B220" t="s">
        <v>46</v>
      </c>
      <c r="C220" t="s">
        <v>10</v>
      </c>
      <c r="D220" s="1">
        <v>45689</v>
      </c>
      <c r="E220">
        <v>36000</v>
      </c>
    </row>
    <row r="221" spans="1:5" x14ac:dyDescent="0.35">
      <c r="A221" t="s">
        <v>37</v>
      </c>
      <c r="B221" t="s">
        <v>38</v>
      </c>
      <c r="C221" t="s">
        <v>16</v>
      </c>
      <c r="D221" s="1">
        <v>45962</v>
      </c>
      <c r="E221">
        <v>88000</v>
      </c>
    </row>
    <row r="222" spans="1:5" x14ac:dyDescent="0.35">
      <c r="A222" t="s">
        <v>48</v>
      </c>
      <c r="B222" t="s">
        <v>49</v>
      </c>
      <c r="C222" t="s">
        <v>50</v>
      </c>
      <c r="D222" s="1">
        <v>45870</v>
      </c>
      <c r="E222">
        <v>11000</v>
      </c>
    </row>
    <row r="223" spans="1:5" x14ac:dyDescent="0.35">
      <c r="A223" t="s">
        <v>8</v>
      </c>
      <c r="B223" t="s">
        <v>9</v>
      </c>
      <c r="C223" t="s">
        <v>10</v>
      </c>
      <c r="D223" s="1">
        <v>45901</v>
      </c>
      <c r="E223">
        <v>35000</v>
      </c>
    </row>
    <row r="224" spans="1:5" x14ac:dyDescent="0.35">
      <c r="A224" t="s">
        <v>39</v>
      </c>
      <c r="B224" t="s">
        <v>40</v>
      </c>
      <c r="C224" t="s">
        <v>10</v>
      </c>
      <c r="D224" s="1">
        <v>45748</v>
      </c>
      <c r="E224">
        <v>26000</v>
      </c>
    </row>
    <row r="225" spans="1:5" x14ac:dyDescent="0.35">
      <c r="A225" t="s">
        <v>14</v>
      </c>
      <c r="B225" t="s">
        <v>15</v>
      </c>
      <c r="C225" t="s">
        <v>16</v>
      </c>
      <c r="D225" s="1">
        <v>45931</v>
      </c>
      <c r="E225">
        <v>79000</v>
      </c>
    </row>
    <row r="226" spans="1:5" x14ac:dyDescent="0.35">
      <c r="A226" t="s">
        <v>70</v>
      </c>
      <c r="B226" t="s">
        <v>71</v>
      </c>
      <c r="C226" t="s">
        <v>28</v>
      </c>
      <c r="D226" s="1">
        <v>45627</v>
      </c>
      <c r="E226">
        <v>76000</v>
      </c>
    </row>
    <row r="227" spans="1:5" x14ac:dyDescent="0.35">
      <c r="A227" t="s">
        <v>19</v>
      </c>
      <c r="B227" t="s">
        <v>20</v>
      </c>
      <c r="C227" t="s">
        <v>21</v>
      </c>
      <c r="D227" s="1">
        <v>45658</v>
      </c>
      <c r="E227">
        <v>10000</v>
      </c>
    </row>
    <row r="228" spans="1:5" x14ac:dyDescent="0.35">
      <c r="A228" t="s">
        <v>22</v>
      </c>
      <c r="B228" t="s">
        <v>23</v>
      </c>
      <c r="C228" t="s">
        <v>7</v>
      </c>
      <c r="D228" s="1">
        <v>45778</v>
      </c>
      <c r="E228">
        <v>15000</v>
      </c>
    </row>
    <row r="229" spans="1:5" x14ac:dyDescent="0.35">
      <c r="A229" t="s">
        <v>48</v>
      </c>
      <c r="B229" t="s">
        <v>49</v>
      </c>
      <c r="C229" t="s">
        <v>16</v>
      </c>
      <c r="D229" s="1">
        <v>45689</v>
      </c>
      <c r="E229">
        <v>100000</v>
      </c>
    </row>
    <row r="230" spans="1:5" x14ac:dyDescent="0.35">
      <c r="A230" t="s">
        <v>57</v>
      </c>
      <c r="B230" t="s">
        <v>58</v>
      </c>
      <c r="C230" t="s">
        <v>7</v>
      </c>
      <c r="D230" s="1">
        <v>45992</v>
      </c>
      <c r="E230">
        <v>18000</v>
      </c>
    </row>
    <row r="231" spans="1:5" x14ac:dyDescent="0.35">
      <c r="A231" t="s">
        <v>70</v>
      </c>
      <c r="B231" t="s">
        <v>71</v>
      </c>
      <c r="C231" t="s">
        <v>21</v>
      </c>
      <c r="D231" s="1">
        <v>45778</v>
      </c>
      <c r="E231">
        <v>9000</v>
      </c>
    </row>
    <row r="232" spans="1:5" x14ac:dyDescent="0.35">
      <c r="A232" t="s">
        <v>37</v>
      </c>
      <c r="B232" t="s">
        <v>38</v>
      </c>
      <c r="C232" t="s">
        <v>10</v>
      </c>
      <c r="D232" s="1">
        <v>45962</v>
      </c>
      <c r="E232">
        <v>19000</v>
      </c>
    </row>
    <row r="233" spans="1:5" x14ac:dyDescent="0.35">
      <c r="A233" t="s">
        <v>60</v>
      </c>
      <c r="B233" t="s">
        <v>61</v>
      </c>
      <c r="C233" t="s">
        <v>10</v>
      </c>
      <c r="D233" s="1">
        <v>45839</v>
      </c>
      <c r="E233">
        <v>23000</v>
      </c>
    </row>
    <row r="234" spans="1:5" x14ac:dyDescent="0.35">
      <c r="A234" t="s">
        <v>41</v>
      </c>
      <c r="B234" t="s">
        <v>42</v>
      </c>
      <c r="C234" t="s">
        <v>10</v>
      </c>
      <c r="D234" s="1">
        <v>45748</v>
      </c>
      <c r="E234">
        <v>17000</v>
      </c>
    </row>
    <row r="235" spans="1:5" x14ac:dyDescent="0.35">
      <c r="A235" t="s">
        <v>31</v>
      </c>
      <c r="B235" t="s">
        <v>32</v>
      </c>
      <c r="C235" t="s">
        <v>16</v>
      </c>
      <c r="D235" s="1">
        <v>45658</v>
      </c>
      <c r="E235">
        <v>77000</v>
      </c>
    </row>
    <row r="236" spans="1:5" x14ac:dyDescent="0.35">
      <c r="A236" t="s">
        <v>43</v>
      </c>
      <c r="B236" t="s">
        <v>44</v>
      </c>
      <c r="C236" t="s">
        <v>16</v>
      </c>
      <c r="D236" s="1">
        <v>45627</v>
      </c>
      <c r="E236">
        <v>70000</v>
      </c>
    </row>
    <row r="237" spans="1:5" x14ac:dyDescent="0.35">
      <c r="A237" t="s">
        <v>17</v>
      </c>
      <c r="B237" t="s">
        <v>18</v>
      </c>
      <c r="C237" t="s">
        <v>16</v>
      </c>
      <c r="D237" s="1">
        <v>45778</v>
      </c>
      <c r="E237">
        <v>90000</v>
      </c>
    </row>
    <row r="238" spans="1:5" x14ac:dyDescent="0.35">
      <c r="A238" t="s">
        <v>22</v>
      </c>
      <c r="B238" t="s">
        <v>23</v>
      </c>
      <c r="C238" t="s">
        <v>16</v>
      </c>
      <c r="D238" s="1">
        <v>45901</v>
      </c>
      <c r="E238">
        <v>132000</v>
      </c>
    </row>
    <row r="239" spans="1:5" x14ac:dyDescent="0.35">
      <c r="A239" t="s">
        <v>48</v>
      </c>
      <c r="B239" t="s">
        <v>49</v>
      </c>
      <c r="C239" t="s">
        <v>16</v>
      </c>
      <c r="D239" s="1">
        <v>45717</v>
      </c>
      <c r="E239">
        <v>112000</v>
      </c>
    </row>
    <row r="240" spans="1:5" x14ac:dyDescent="0.35">
      <c r="A240" t="s">
        <v>11</v>
      </c>
      <c r="B240" t="s">
        <v>59</v>
      </c>
      <c r="C240" t="s">
        <v>10</v>
      </c>
      <c r="D240" s="1">
        <v>45658</v>
      </c>
      <c r="E240">
        <v>39000</v>
      </c>
    </row>
    <row r="241" spans="1:5" x14ac:dyDescent="0.35">
      <c r="A241" t="s">
        <v>5</v>
      </c>
      <c r="B241" t="s">
        <v>6</v>
      </c>
      <c r="C241" t="s">
        <v>7</v>
      </c>
      <c r="D241" s="1">
        <v>45992</v>
      </c>
      <c r="E241">
        <v>24000</v>
      </c>
    </row>
    <row r="242" spans="1:5" x14ac:dyDescent="0.35">
      <c r="A242" t="s">
        <v>24</v>
      </c>
      <c r="B242" t="s">
        <v>45</v>
      </c>
      <c r="C242" t="s">
        <v>28</v>
      </c>
      <c r="D242" s="1">
        <v>45717</v>
      </c>
      <c r="E242">
        <v>100000</v>
      </c>
    </row>
    <row r="243" spans="1:5" x14ac:dyDescent="0.35">
      <c r="A243" t="s">
        <v>66</v>
      </c>
      <c r="B243" t="s">
        <v>67</v>
      </c>
      <c r="C243" t="s">
        <v>50</v>
      </c>
      <c r="D243" s="1">
        <v>45839</v>
      </c>
      <c r="E243">
        <v>19000</v>
      </c>
    </row>
    <row r="244" spans="1:5" x14ac:dyDescent="0.35">
      <c r="A244" t="s">
        <v>91</v>
      </c>
      <c r="B244" t="s">
        <v>92</v>
      </c>
      <c r="C244" t="s">
        <v>21</v>
      </c>
      <c r="D244" s="1">
        <v>45901</v>
      </c>
      <c r="E244">
        <v>19000</v>
      </c>
    </row>
    <row r="245" spans="1:5" x14ac:dyDescent="0.35">
      <c r="A245" t="s">
        <v>39</v>
      </c>
      <c r="B245" t="s">
        <v>40</v>
      </c>
      <c r="C245" t="s">
        <v>28</v>
      </c>
      <c r="D245" s="1">
        <v>45809</v>
      </c>
      <c r="E245">
        <v>60000</v>
      </c>
    </row>
    <row r="246" spans="1:5" x14ac:dyDescent="0.35">
      <c r="A246" t="s">
        <v>8</v>
      </c>
      <c r="B246" t="s">
        <v>9</v>
      </c>
      <c r="C246" t="s">
        <v>10</v>
      </c>
      <c r="D246" s="1">
        <v>45870</v>
      </c>
      <c r="E246">
        <v>35000</v>
      </c>
    </row>
    <row r="247" spans="1:5" x14ac:dyDescent="0.35">
      <c r="A247" t="s">
        <v>70</v>
      </c>
      <c r="B247" t="s">
        <v>71</v>
      </c>
      <c r="C247" t="s">
        <v>28</v>
      </c>
      <c r="D247" s="1">
        <v>45839</v>
      </c>
      <c r="E247">
        <v>85000</v>
      </c>
    </row>
    <row r="248" spans="1:5" x14ac:dyDescent="0.35">
      <c r="A248" t="s">
        <v>57</v>
      </c>
      <c r="B248" t="s">
        <v>58</v>
      </c>
      <c r="C248" t="s">
        <v>13</v>
      </c>
      <c r="D248" s="1">
        <v>45962</v>
      </c>
      <c r="E248">
        <v>20000</v>
      </c>
    </row>
    <row r="249" spans="1:5" x14ac:dyDescent="0.35">
      <c r="A249" t="s">
        <v>29</v>
      </c>
      <c r="B249" t="s">
        <v>30</v>
      </c>
      <c r="C249" t="s">
        <v>10</v>
      </c>
      <c r="D249" s="1">
        <v>45992</v>
      </c>
      <c r="E249">
        <v>36000</v>
      </c>
    </row>
    <row r="250" spans="1:5" x14ac:dyDescent="0.35">
      <c r="A250" t="s">
        <v>89</v>
      </c>
      <c r="B250" t="s">
        <v>90</v>
      </c>
      <c r="C250" t="s">
        <v>10</v>
      </c>
      <c r="D250" s="1">
        <v>45992</v>
      </c>
      <c r="E250">
        <v>18000</v>
      </c>
    </row>
    <row r="251" spans="1:5" x14ac:dyDescent="0.35">
      <c r="A251" t="s">
        <v>11</v>
      </c>
      <c r="B251" t="s">
        <v>59</v>
      </c>
      <c r="C251" t="s">
        <v>28</v>
      </c>
      <c r="D251" s="1">
        <v>45962</v>
      </c>
      <c r="E251">
        <v>118000</v>
      </c>
    </row>
    <row r="252" spans="1:5" x14ac:dyDescent="0.35">
      <c r="A252" t="s">
        <v>41</v>
      </c>
      <c r="B252" t="s">
        <v>42</v>
      </c>
      <c r="C252" t="s">
        <v>10</v>
      </c>
      <c r="D252" s="1">
        <v>45962</v>
      </c>
      <c r="E252">
        <v>17000</v>
      </c>
    </row>
    <row r="253" spans="1:5" x14ac:dyDescent="0.35">
      <c r="A253" t="s">
        <v>24</v>
      </c>
      <c r="B253" t="s">
        <v>45</v>
      </c>
      <c r="C253" t="s">
        <v>28</v>
      </c>
      <c r="D253" s="1">
        <v>45627</v>
      </c>
      <c r="E253">
        <v>100000</v>
      </c>
    </row>
    <row r="254" spans="1:5" x14ac:dyDescent="0.35">
      <c r="A254" t="s">
        <v>37</v>
      </c>
      <c r="B254" t="s">
        <v>38</v>
      </c>
      <c r="C254" t="s">
        <v>65</v>
      </c>
      <c r="D254" s="1">
        <v>45901</v>
      </c>
      <c r="E254">
        <v>19000</v>
      </c>
    </row>
    <row r="255" spans="1:5" x14ac:dyDescent="0.35">
      <c r="A255" t="s">
        <v>60</v>
      </c>
      <c r="B255" t="s">
        <v>61</v>
      </c>
      <c r="C255" t="s">
        <v>10</v>
      </c>
      <c r="D255" s="1">
        <v>45627</v>
      </c>
      <c r="E255">
        <v>23000</v>
      </c>
    </row>
    <row r="256" spans="1:5" x14ac:dyDescent="0.35">
      <c r="A256" t="s">
        <v>72</v>
      </c>
      <c r="B256" t="s">
        <v>73</v>
      </c>
      <c r="C256" t="s">
        <v>16</v>
      </c>
      <c r="D256" s="1">
        <v>45809</v>
      </c>
      <c r="E256">
        <v>117000</v>
      </c>
    </row>
    <row r="257" spans="1:5" x14ac:dyDescent="0.35">
      <c r="A257" t="s">
        <v>14</v>
      </c>
      <c r="B257" t="s">
        <v>15</v>
      </c>
      <c r="C257" t="s">
        <v>28</v>
      </c>
      <c r="D257" s="1">
        <v>45992</v>
      </c>
      <c r="E257">
        <v>62000</v>
      </c>
    </row>
    <row r="258" spans="1:5" x14ac:dyDescent="0.35">
      <c r="A258" t="s">
        <v>41</v>
      </c>
      <c r="B258" t="s">
        <v>42</v>
      </c>
      <c r="C258" t="s">
        <v>21</v>
      </c>
      <c r="D258" s="1">
        <v>45689</v>
      </c>
      <c r="E258">
        <v>22000</v>
      </c>
    </row>
    <row r="259" spans="1:5" x14ac:dyDescent="0.35">
      <c r="A259" t="s">
        <v>87</v>
      </c>
      <c r="B259" t="s">
        <v>99</v>
      </c>
      <c r="C259" t="s">
        <v>28</v>
      </c>
      <c r="D259" s="1">
        <v>45839</v>
      </c>
      <c r="E259">
        <v>73000</v>
      </c>
    </row>
    <row r="260" spans="1:5" x14ac:dyDescent="0.35">
      <c r="A260" t="s">
        <v>41</v>
      </c>
      <c r="B260" t="s">
        <v>42</v>
      </c>
      <c r="C260" t="s">
        <v>7</v>
      </c>
      <c r="D260" s="1">
        <v>45689</v>
      </c>
      <c r="E260">
        <v>17000</v>
      </c>
    </row>
    <row r="261" spans="1:5" x14ac:dyDescent="0.35">
      <c r="A261" t="s">
        <v>74</v>
      </c>
      <c r="B261" t="s">
        <v>75</v>
      </c>
      <c r="C261" t="s">
        <v>28</v>
      </c>
      <c r="D261" s="1">
        <v>45962</v>
      </c>
      <c r="E261">
        <v>155000</v>
      </c>
    </row>
    <row r="262" spans="1:5" x14ac:dyDescent="0.35">
      <c r="A262" t="s">
        <v>84</v>
      </c>
      <c r="B262" t="s">
        <v>85</v>
      </c>
      <c r="C262" t="s">
        <v>28</v>
      </c>
      <c r="D262" s="1">
        <v>45992</v>
      </c>
      <c r="E262">
        <v>44000</v>
      </c>
    </row>
    <row r="263" spans="1:5" x14ac:dyDescent="0.35">
      <c r="A263" t="s">
        <v>29</v>
      </c>
      <c r="B263" t="s">
        <v>46</v>
      </c>
      <c r="C263" t="s">
        <v>16</v>
      </c>
      <c r="D263" s="1">
        <v>45627</v>
      </c>
      <c r="E263">
        <v>60000</v>
      </c>
    </row>
    <row r="264" spans="1:5" x14ac:dyDescent="0.35">
      <c r="A264" t="s">
        <v>72</v>
      </c>
      <c r="B264" t="s">
        <v>73</v>
      </c>
      <c r="C264" t="s">
        <v>13</v>
      </c>
      <c r="D264" s="1">
        <v>45931</v>
      </c>
      <c r="E264">
        <v>16000</v>
      </c>
    </row>
    <row r="265" spans="1:5" x14ac:dyDescent="0.35">
      <c r="A265" t="s">
        <v>87</v>
      </c>
      <c r="B265" t="s">
        <v>88</v>
      </c>
      <c r="C265" t="s">
        <v>16</v>
      </c>
      <c r="D265" s="1">
        <v>45748</v>
      </c>
      <c r="E265">
        <v>73000</v>
      </c>
    </row>
    <row r="266" spans="1:5" x14ac:dyDescent="0.35">
      <c r="A266" t="s">
        <v>17</v>
      </c>
      <c r="B266" t="s">
        <v>18</v>
      </c>
      <c r="C266" t="s">
        <v>10</v>
      </c>
      <c r="D266" s="1">
        <v>45839</v>
      </c>
      <c r="E266">
        <v>36000</v>
      </c>
    </row>
    <row r="267" spans="1:5" x14ac:dyDescent="0.35">
      <c r="A267" t="s">
        <v>70</v>
      </c>
      <c r="B267" t="s">
        <v>71</v>
      </c>
      <c r="C267" t="s">
        <v>10</v>
      </c>
      <c r="D267" s="1">
        <v>45992</v>
      </c>
      <c r="E267">
        <v>27000</v>
      </c>
    </row>
    <row r="268" spans="1:5" x14ac:dyDescent="0.35">
      <c r="A268" t="s">
        <v>24</v>
      </c>
      <c r="B268" t="s">
        <v>45</v>
      </c>
      <c r="C268" t="s">
        <v>65</v>
      </c>
      <c r="D268" s="1">
        <v>45992</v>
      </c>
      <c r="E268">
        <v>38000</v>
      </c>
    </row>
    <row r="269" spans="1:5" x14ac:dyDescent="0.35">
      <c r="A269" t="s">
        <v>26</v>
      </c>
      <c r="B269" t="s">
        <v>27</v>
      </c>
      <c r="C269" t="s">
        <v>28</v>
      </c>
      <c r="D269" s="1">
        <v>45809</v>
      </c>
      <c r="E269">
        <v>72000</v>
      </c>
    </row>
    <row r="270" spans="1:5" x14ac:dyDescent="0.35">
      <c r="A270" t="s">
        <v>53</v>
      </c>
      <c r="B270" t="s">
        <v>54</v>
      </c>
      <c r="C270" t="s">
        <v>16</v>
      </c>
      <c r="D270" s="1">
        <v>45992</v>
      </c>
      <c r="E270">
        <v>73000</v>
      </c>
    </row>
    <row r="271" spans="1:5" x14ac:dyDescent="0.35">
      <c r="A271" t="s">
        <v>57</v>
      </c>
      <c r="B271" t="s">
        <v>58</v>
      </c>
      <c r="C271" t="s">
        <v>13</v>
      </c>
      <c r="D271" s="1">
        <v>45992</v>
      </c>
      <c r="E271">
        <v>20000</v>
      </c>
    </row>
    <row r="272" spans="1:5" x14ac:dyDescent="0.35">
      <c r="A272" t="s">
        <v>66</v>
      </c>
      <c r="B272" t="s">
        <v>67</v>
      </c>
      <c r="C272" t="s">
        <v>7</v>
      </c>
      <c r="D272" s="1">
        <v>45931</v>
      </c>
      <c r="E272">
        <v>19000</v>
      </c>
    </row>
    <row r="273" spans="1:5" x14ac:dyDescent="0.35">
      <c r="A273" t="s">
        <v>48</v>
      </c>
      <c r="B273" t="s">
        <v>49</v>
      </c>
      <c r="C273" t="s">
        <v>65</v>
      </c>
      <c r="D273" s="1">
        <v>45627</v>
      </c>
      <c r="E273">
        <v>26000</v>
      </c>
    </row>
    <row r="274" spans="1:5" x14ac:dyDescent="0.35">
      <c r="A274" t="s">
        <v>8</v>
      </c>
      <c r="B274" t="s">
        <v>9</v>
      </c>
      <c r="C274" t="s">
        <v>13</v>
      </c>
      <c r="D274" s="1">
        <v>45870</v>
      </c>
      <c r="E274">
        <v>17000</v>
      </c>
    </row>
    <row r="275" spans="1:5" x14ac:dyDescent="0.35">
      <c r="A275" t="s">
        <v>87</v>
      </c>
      <c r="B275" t="s">
        <v>88</v>
      </c>
      <c r="C275" t="s">
        <v>28</v>
      </c>
      <c r="D275" s="1">
        <v>45717</v>
      </c>
      <c r="E275">
        <v>73000</v>
      </c>
    </row>
    <row r="276" spans="1:5" x14ac:dyDescent="0.35">
      <c r="A276" t="s">
        <v>14</v>
      </c>
      <c r="B276" t="s">
        <v>15</v>
      </c>
      <c r="C276" t="s">
        <v>16</v>
      </c>
      <c r="D276" s="1">
        <v>45962</v>
      </c>
      <c r="E276">
        <v>62000</v>
      </c>
    </row>
    <row r="277" spans="1:5" x14ac:dyDescent="0.35">
      <c r="A277" t="s">
        <v>78</v>
      </c>
      <c r="B277" t="s">
        <v>79</v>
      </c>
      <c r="C277" t="s">
        <v>10</v>
      </c>
      <c r="D277" s="1">
        <v>45992</v>
      </c>
      <c r="E277">
        <v>17000</v>
      </c>
    </row>
    <row r="278" spans="1:5" x14ac:dyDescent="0.35">
      <c r="A278" t="s">
        <v>100</v>
      </c>
      <c r="B278" t="s">
        <v>101</v>
      </c>
      <c r="C278" t="s">
        <v>28</v>
      </c>
      <c r="D278" s="1">
        <v>45992</v>
      </c>
      <c r="E278">
        <v>88000</v>
      </c>
    </row>
    <row r="279" spans="1:5" x14ac:dyDescent="0.35">
      <c r="A279" t="s">
        <v>68</v>
      </c>
      <c r="B279" t="s">
        <v>69</v>
      </c>
      <c r="C279" t="s">
        <v>28</v>
      </c>
      <c r="D279" s="1">
        <v>45839</v>
      </c>
      <c r="E279">
        <v>35000</v>
      </c>
    </row>
    <row r="280" spans="1:5" x14ac:dyDescent="0.35">
      <c r="A280" t="s">
        <v>84</v>
      </c>
      <c r="B280" t="s">
        <v>85</v>
      </c>
      <c r="C280" t="s">
        <v>28</v>
      </c>
      <c r="D280" s="1">
        <v>45931</v>
      </c>
      <c r="E280">
        <v>44000</v>
      </c>
    </row>
    <row r="281" spans="1:5" x14ac:dyDescent="0.35">
      <c r="A281" t="s">
        <v>33</v>
      </c>
      <c r="B281" t="s">
        <v>34</v>
      </c>
      <c r="C281" t="s">
        <v>16</v>
      </c>
      <c r="D281" s="1">
        <v>45778</v>
      </c>
      <c r="E281">
        <v>66000</v>
      </c>
    </row>
    <row r="282" spans="1:5" x14ac:dyDescent="0.35">
      <c r="A282" t="s">
        <v>51</v>
      </c>
      <c r="B282" t="s">
        <v>52</v>
      </c>
      <c r="C282" t="s">
        <v>10</v>
      </c>
      <c r="D282" s="1">
        <v>45689</v>
      </c>
      <c r="E282">
        <v>27000</v>
      </c>
    </row>
    <row r="283" spans="1:5" x14ac:dyDescent="0.35">
      <c r="A283" t="s">
        <v>78</v>
      </c>
      <c r="B283" t="s">
        <v>79</v>
      </c>
      <c r="C283" t="s">
        <v>16</v>
      </c>
      <c r="D283" s="1">
        <v>45931</v>
      </c>
      <c r="E283">
        <v>49000</v>
      </c>
    </row>
    <row r="284" spans="1:5" x14ac:dyDescent="0.35">
      <c r="A284" t="s">
        <v>57</v>
      </c>
      <c r="B284" t="s">
        <v>58</v>
      </c>
      <c r="C284" t="s">
        <v>28</v>
      </c>
      <c r="D284" s="1">
        <v>45839</v>
      </c>
      <c r="E284">
        <v>52000</v>
      </c>
    </row>
    <row r="285" spans="1:5" x14ac:dyDescent="0.35">
      <c r="A285" t="s">
        <v>70</v>
      </c>
      <c r="B285" t="s">
        <v>71</v>
      </c>
      <c r="C285" t="s">
        <v>16</v>
      </c>
      <c r="D285" s="1">
        <v>45658</v>
      </c>
      <c r="E285">
        <v>85000</v>
      </c>
    </row>
    <row r="286" spans="1:5" x14ac:dyDescent="0.35">
      <c r="A286" t="s">
        <v>29</v>
      </c>
      <c r="B286" t="s">
        <v>46</v>
      </c>
      <c r="C286" t="s">
        <v>65</v>
      </c>
      <c r="D286" s="1">
        <v>45870</v>
      </c>
      <c r="E286">
        <v>36000</v>
      </c>
    </row>
    <row r="287" spans="1:5" x14ac:dyDescent="0.35">
      <c r="A287" t="s">
        <v>62</v>
      </c>
      <c r="B287" t="s">
        <v>63</v>
      </c>
      <c r="C287" t="s">
        <v>28</v>
      </c>
      <c r="D287" s="1">
        <v>45627</v>
      </c>
      <c r="E287">
        <v>62000</v>
      </c>
    </row>
    <row r="288" spans="1:5" x14ac:dyDescent="0.35">
      <c r="A288" t="s">
        <v>89</v>
      </c>
      <c r="B288" t="s">
        <v>94</v>
      </c>
      <c r="C288" t="s">
        <v>28</v>
      </c>
      <c r="D288" s="1">
        <v>45931</v>
      </c>
      <c r="E288">
        <v>71000</v>
      </c>
    </row>
    <row r="289" spans="1:5" x14ac:dyDescent="0.35">
      <c r="A289" t="s">
        <v>39</v>
      </c>
      <c r="B289" t="s">
        <v>40</v>
      </c>
      <c r="C289" t="s">
        <v>16</v>
      </c>
      <c r="D289" s="1">
        <v>45627</v>
      </c>
      <c r="E289">
        <v>60000</v>
      </c>
    </row>
    <row r="290" spans="1:5" x14ac:dyDescent="0.35">
      <c r="A290" t="s">
        <v>60</v>
      </c>
      <c r="B290" t="s">
        <v>61</v>
      </c>
      <c r="C290" t="s">
        <v>50</v>
      </c>
      <c r="D290" s="1">
        <v>45839</v>
      </c>
      <c r="E290">
        <v>18000</v>
      </c>
    </row>
    <row r="291" spans="1:5" x14ac:dyDescent="0.35">
      <c r="A291" t="s">
        <v>57</v>
      </c>
      <c r="B291" t="s">
        <v>58</v>
      </c>
      <c r="C291" t="s">
        <v>28</v>
      </c>
      <c r="D291" s="1">
        <v>45901</v>
      </c>
      <c r="E291">
        <v>52000</v>
      </c>
    </row>
    <row r="292" spans="1:5" x14ac:dyDescent="0.35">
      <c r="A292" t="s">
        <v>5</v>
      </c>
      <c r="B292" t="s">
        <v>6</v>
      </c>
      <c r="C292" t="s">
        <v>10</v>
      </c>
      <c r="D292" s="1">
        <v>45809</v>
      </c>
      <c r="E292">
        <v>24000</v>
      </c>
    </row>
    <row r="293" spans="1:5" x14ac:dyDescent="0.35">
      <c r="A293" t="s">
        <v>72</v>
      </c>
      <c r="B293" t="s">
        <v>73</v>
      </c>
      <c r="C293" t="s">
        <v>10</v>
      </c>
      <c r="D293" s="1">
        <v>45870</v>
      </c>
      <c r="E293">
        <v>33000</v>
      </c>
    </row>
    <row r="294" spans="1:5" x14ac:dyDescent="0.35">
      <c r="A294" t="s">
        <v>26</v>
      </c>
      <c r="B294" t="s">
        <v>27</v>
      </c>
      <c r="C294" t="s">
        <v>10</v>
      </c>
      <c r="D294" s="1">
        <v>45992</v>
      </c>
      <c r="E294">
        <v>25000</v>
      </c>
    </row>
    <row r="295" spans="1:5" x14ac:dyDescent="0.35">
      <c r="A295" t="s">
        <v>78</v>
      </c>
      <c r="B295" t="s">
        <v>79</v>
      </c>
      <c r="C295" t="s">
        <v>21</v>
      </c>
      <c r="D295" s="1">
        <v>45992</v>
      </c>
      <c r="E295">
        <v>28000</v>
      </c>
    </row>
    <row r="296" spans="1:5" x14ac:dyDescent="0.35">
      <c r="A296" t="s">
        <v>70</v>
      </c>
      <c r="B296" t="s">
        <v>71</v>
      </c>
      <c r="C296" t="s">
        <v>7</v>
      </c>
      <c r="D296" s="1">
        <v>45962</v>
      </c>
      <c r="E296">
        <v>27000</v>
      </c>
    </row>
    <row r="297" spans="1:5" x14ac:dyDescent="0.35">
      <c r="A297" t="s">
        <v>33</v>
      </c>
      <c r="B297" t="s">
        <v>34</v>
      </c>
      <c r="C297" t="s">
        <v>28</v>
      </c>
      <c r="D297" s="1">
        <v>45839</v>
      </c>
      <c r="E297">
        <v>66000</v>
      </c>
    </row>
    <row r="298" spans="1:5" x14ac:dyDescent="0.35">
      <c r="A298" t="s">
        <v>19</v>
      </c>
      <c r="B298" t="s">
        <v>20</v>
      </c>
      <c r="C298" t="s">
        <v>7</v>
      </c>
      <c r="D298" s="1">
        <v>45992</v>
      </c>
      <c r="E298">
        <v>30000</v>
      </c>
    </row>
    <row r="299" spans="1:5" x14ac:dyDescent="0.35">
      <c r="A299" t="s">
        <v>17</v>
      </c>
      <c r="B299" t="s">
        <v>18</v>
      </c>
      <c r="C299" t="s">
        <v>16</v>
      </c>
      <c r="D299" s="1">
        <v>45689</v>
      </c>
      <c r="E299">
        <v>90000</v>
      </c>
    </row>
    <row r="300" spans="1:5" x14ac:dyDescent="0.35">
      <c r="A300" t="s">
        <v>14</v>
      </c>
      <c r="B300" t="s">
        <v>15</v>
      </c>
      <c r="C300" t="s">
        <v>16</v>
      </c>
      <c r="D300" s="1">
        <v>45748</v>
      </c>
      <c r="E300">
        <v>66000</v>
      </c>
    </row>
    <row r="301" spans="1:5" x14ac:dyDescent="0.35">
      <c r="A301" t="s">
        <v>78</v>
      </c>
      <c r="B301" t="s">
        <v>79</v>
      </c>
      <c r="C301" t="s">
        <v>50</v>
      </c>
      <c r="D301" s="1">
        <v>45962</v>
      </c>
      <c r="E301">
        <v>28000</v>
      </c>
    </row>
    <row r="302" spans="1:5" x14ac:dyDescent="0.35">
      <c r="A302" t="s">
        <v>5</v>
      </c>
      <c r="B302" t="s">
        <v>6</v>
      </c>
      <c r="C302" t="s">
        <v>7</v>
      </c>
      <c r="D302" s="1">
        <v>45931</v>
      </c>
      <c r="E302">
        <v>24000</v>
      </c>
    </row>
    <row r="303" spans="1:5" x14ac:dyDescent="0.35">
      <c r="A303" t="s">
        <v>51</v>
      </c>
      <c r="B303" t="s">
        <v>52</v>
      </c>
      <c r="C303" t="s">
        <v>21</v>
      </c>
      <c r="D303" s="1">
        <v>45627</v>
      </c>
      <c r="E303">
        <v>21000</v>
      </c>
    </row>
    <row r="304" spans="1:5" x14ac:dyDescent="0.35">
      <c r="A304" t="s">
        <v>17</v>
      </c>
      <c r="B304" t="s">
        <v>18</v>
      </c>
      <c r="C304" t="s">
        <v>10</v>
      </c>
      <c r="D304" s="1">
        <v>45870</v>
      </c>
      <c r="E304" t="s">
        <v>47</v>
      </c>
    </row>
    <row r="305" spans="1:5" x14ac:dyDescent="0.35">
      <c r="A305" t="s">
        <v>66</v>
      </c>
      <c r="B305" t="s">
        <v>67</v>
      </c>
      <c r="C305" t="s">
        <v>28</v>
      </c>
      <c r="D305" s="1">
        <v>45931</v>
      </c>
      <c r="E305">
        <v>95000</v>
      </c>
    </row>
    <row r="306" spans="1:5" x14ac:dyDescent="0.35">
      <c r="A306" t="s">
        <v>43</v>
      </c>
      <c r="B306" t="s">
        <v>44</v>
      </c>
      <c r="C306" t="s">
        <v>10</v>
      </c>
      <c r="D306" s="1">
        <v>45748</v>
      </c>
      <c r="E306">
        <v>22000</v>
      </c>
    </row>
    <row r="307" spans="1:5" x14ac:dyDescent="0.35">
      <c r="A307" t="s">
        <v>26</v>
      </c>
      <c r="B307" t="s">
        <v>27</v>
      </c>
      <c r="C307" t="s">
        <v>16</v>
      </c>
      <c r="D307" s="1">
        <v>45717</v>
      </c>
      <c r="E307">
        <v>58000</v>
      </c>
    </row>
    <row r="308" spans="1:5" x14ac:dyDescent="0.35">
      <c r="A308" t="s">
        <v>51</v>
      </c>
      <c r="B308" t="s">
        <v>52</v>
      </c>
      <c r="C308" t="s">
        <v>28</v>
      </c>
      <c r="D308" s="1">
        <v>45658</v>
      </c>
      <c r="E308">
        <v>38000</v>
      </c>
    </row>
    <row r="309" spans="1:5" x14ac:dyDescent="0.35">
      <c r="A309" t="s">
        <v>24</v>
      </c>
      <c r="B309" t="s">
        <v>45</v>
      </c>
      <c r="C309" t="s">
        <v>28</v>
      </c>
      <c r="D309" s="1">
        <v>45809</v>
      </c>
      <c r="E309">
        <v>100000</v>
      </c>
    </row>
    <row r="310" spans="1:5" x14ac:dyDescent="0.35">
      <c r="A310" t="s">
        <v>19</v>
      </c>
      <c r="B310" t="s">
        <v>20</v>
      </c>
      <c r="C310" t="s">
        <v>10</v>
      </c>
      <c r="D310" s="1">
        <v>45839</v>
      </c>
      <c r="E310">
        <v>30000</v>
      </c>
    </row>
    <row r="311" spans="1:5" x14ac:dyDescent="0.35">
      <c r="A311" t="s">
        <v>74</v>
      </c>
      <c r="B311" t="s">
        <v>75</v>
      </c>
      <c r="C311" t="s">
        <v>28</v>
      </c>
      <c r="D311" s="1">
        <v>45870</v>
      </c>
      <c r="E311">
        <v>155000</v>
      </c>
    </row>
    <row r="312" spans="1:5" x14ac:dyDescent="0.35">
      <c r="A312" t="s">
        <v>70</v>
      </c>
      <c r="B312" t="s">
        <v>71</v>
      </c>
      <c r="C312" t="s">
        <v>50</v>
      </c>
      <c r="D312" s="1">
        <v>45748</v>
      </c>
      <c r="E312">
        <v>9000</v>
      </c>
    </row>
    <row r="313" spans="1:5" x14ac:dyDescent="0.35">
      <c r="A313" t="s">
        <v>17</v>
      </c>
      <c r="B313" t="s">
        <v>18</v>
      </c>
      <c r="C313" t="s">
        <v>65</v>
      </c>
      <c r="D313" s="1">
        <v>45809</v>
      </c>
      <c r="E313">
        <v>29000</v>
      </c>
    </row>
    <row r="314" spans="1:5" x14ac:dyDescent="0.35">
      <c r="A314" t="s">
        <v>66</v>
      </c>
      <c r="B314" t="s">
        <v>67</v>
      </c>
      <c r="C314" t="s">
        <v>7</v>
      </c>
      <c r="D314" s="1">
        <v>45962</v>
      </c>
      <c r="E314">
        <v>19000</v>
      </c>
    </row>
    <row r="315" spans="1:5" x14ac:dyDescent="0.35">
      <c r="A315" t="s">
        <v>19</v>
      </c>
      <c r="B315" t="s">
        <v>20</v>
      </c>
      <c r="C315" t="s">
        <v>10</v>
      </c>
      <c r="D315" s="1">
        <v>45778</v>
      </c>
      <c r="E315">
        <v>30000</v>
      </c>
    </row>
    <row r="316" spans="1:5" x14ac:dyDescent="0.35">
      <c r="A316" t="s">
        <v>24</v>
      </c>
      <c r="B316" t="s">
        <v>45</v>
      </c>
      <c r="C316" t="s">
        <v>10</v>
      </c>
      <c r="D316" s="1">
        <v>45931</v>
      </c>
      <c r="E316">
        <v>38000</v>
      </c>
    </row>
    <row r="317" spans="1:5" x14ac:dyDescent="0.35">
      <c r="A317" t="s">
        <v>66</v>
      </c>
      <c r="B317" t="s">
        <v>67</v>
      </c>
      <c r="C317" t="s">
        <v>16</v>
      </c>
      <c r="D317" s="1">
        <v>45839</v>
      </c>
      <c r="E317">
        <v>95000</v>
      </c>
    </row>
    <row r="318" spans="1:5" x14ac:dyDescent="0.35">
      <c r="A318" t="s">
        <v>17</v>
      </c>
      <c r="B318" t="s">
        <v>18</v>
      </c>
      <c r="C318" t="s">
        <v>28</v>
      </c>
      <c r="D318" s="1">
        <v>45992</v>
      </c>
      <c r="E318">
        <v>90000</v>
      </c>
    </row>
    <row r="319" spans="1:5" x14ac:dyDescent="0.35">
      <c r="A319" t="s">
        <v>70</v>
      </c>
      <c r="B319" t="s">
        <v>71</v>
      </c>
      <c r="C319" t="s">
        <v>28</v>
      </c>
      <c r="D319" s="1">
        <v>45931</v>
      </c>
      <c r="E319">
        <v>85000</v>
      </c>
    </row>
    <row r="320" spans="1:5" x14ac:dyDescent="0.35">
      <c r="A320" t="s">
        <v>60</v>
      </c>
      <c r="B320" t="s">
        <v>61</v>
      </c>
      <c r="C320" t="s">
        <v>28</v>
      </c>
      <c r="D320" s="1">
        <v>45778</v>
      </c>
      <c r="E320">
        <v>35000</v>
      </c>
    </row>
    <row r="321" spans="1:5" x14ac:dyDescent="0.35">
      <c r="A321" t="s">
        <v>19</v>
      </c>
      <c r="B321" t="s">
        <v>20</v>
      </c>
      <c r="C321" t="s">
        <v>16</v>
      </c>
      <c r="D321" s="1">
        <v>45658</v>
      </c>
      <c r="E321">
        <v>61000</v>
      </c>
    </row>
    <row r="322" spans="1:5" x14ac:dyDescent="0.35">
      <c r="A322" t="s">
        <v>62</v>
      </c>
      <c r="B322" t="s">
        <v>63</v>
      </c>
      <c r="C322" t="s">
        <v>28</v>
      </c>
      <c r="D322" s="1">
        <v>45962</v>
      </c>
      <c r="E322">
        <v>36000</v>
      </c>
    </row>
    <row r="323" spans="1:5" x14ac:dyDescent="0.35">
      <c r="A323" t="s">
        <v>53</v>
      </c>
      <c r="B323" t="s">
        <v>54</v>
      </c>
      <c r="C323" t="s">
        <v>10</v>
      </c>
      <c r="D323" s="1">
        <v>45658</v>
      </c>
      <c r="E323">
        <v>35000</v>
      </c>
    </row>
    <row r="324" spans="1:5" x14ac:dyDescent="0.35">
      <c r="A324" t="s">
        <v>39</v>
      </c>
      <c r="B324" t="s">
        <v>40</v>
      </c>
      <c r="C324" t="s">
        <v>10</v>
      </c>
      <c r="D324" s="1">
        <v>45931</v>
      </c>
      <c r="E324">
        <v>31000</v>
      </c>
    </row>
    <row r="325" spans="1:5" x14ac:dyDescent="0.35">
      <c r="A325" t="s">
        <v>19</v>
      </c>
      <c r="B325" t="s">
        <v>20</v>
      </c>
      <c r="C325" t="s">
        <v>50</v>
      </c>
      <c r="D325" s="1">
        <v>45717</v>
      </c>
      <c r="E325">
        <v>10000</v>
      </c>
    </row>
    <row r="326" spans="1:5" x14ac:dyDescent="0.35">
      <c r="A326" t="s">
        <v>17</v>
      </c>
      <c r="B326" t="s">
        <v>18</v>
      </c>
      <c r="C326" t="s">
        <v>21</v>
      </c>
      <c r="D326" s="1">
        <v>45689</v>
      </c>
      <c r="E326">
        <v>8000</v>
      </c>
    </row>
    <row r="327" spans="1:5" x14ac:dyDescent="0.35">
      <c r="A327" t="s">
        <v>14</v>
      </c>
      <c r="B327" t="s">
        <v>15</v>
      </c>
      <c r="C327" t="s">
        <v>16</v>
      </c>
      <c r="D327" s="1">
        <v>45717</v>
      </c>
      <c r="E327">
        <v>66000</v>
      </c>
    </row>
    <row r="328" spans="1:5" x14ac:dyDescent="0.35">
      <c r="A328" t="s">
        <v>74</v>
      </c>
      <c r="B328" t="s">
        <v>75</v>
      </c>
      <c r="C328" t="s">
        <v>28</v>
      </c>
      <c r="D328" s="1">
        <v>45992</v>
      </c>
      <c r="E328">
        <v>155000</v>
      </c>
    </row>
    <row r="329" spans="1:5" x14ac:dyDescent="0.35">
      <c r="A329" t="s">
        <v>26</v>
      </c>
      <c r="B329" t="s">
        <v>27</v>
      </c>
      <c r="C329" t="s">
        <v>16</v>
      </c>
      <c r="D329" s="1">
        <v>45748</v>
      </c>
      <c r="E329">
        <v>58000</v>
      </c>
    </row>
    <row r="330" spans="1:5" x14ac:dyDescent="0.35">
      <c r="A330" t="s">
        <v>8</v>
      </c>
      <c r="B330" t="s">
        <v>9</v>
      </c>
      <c r="C330" t="s">
        <v>16</v>
      </c>
      <c r="D330" s="1">
        <v>45901</v>
      </c>
      <c r="E330">
        <v>70000</v>
      </c>
    </row>
    <row r="331" spans="1:5" x14ac:dyDescent="0.35">
      <c r="A331" t="s">
        <v>41</v>
      </c>
      <c r="B331" t="s">
        <v>42</v>
      </c>
      <c r="C331" t="s">
        <v>16</v>
      </c>
      <c r="D331" s="1">
        <v>45901</v>
      </c>
      <c r="E331">
        <v>102000</v>
      </c>
    </row>
    <row r="332" spans="1:5" x14ac:dyDescent="0.35">
      <c r="A332" t="s">
        <v>43</v>
      </c>
      <c r="B332" t="s">
        <v>44</v>
      </c>
      <c r="C332" t="s">
        <v>16</v>
      </c>
      <c r="D332" s="1">
        <v>45870</v>
      </c>
      <c r="E332">
        <v>70000</v>
      </c>
    </row>
    <row r="333" spans="1:5" x14ac:dyDescent="0.35">
      <c r="A333" t="s">
        <v>39</v>
      </c>
      <c r="B333" t="s">
        <v>40</v>
      </c>
      <c r="C333" t="s">
        <v>16</v>
      </c>
      <c r="D333" s="1">
        <v>45931</v>
      </c>
      <c r="E333">
        <v>60000</v>
      </c>
    </row>
    <row r="334" spans="1:5" x14ac:dyDescent="0.35">
      <c r="A334" t="s">
        <v>48</v>
      </c>
      <c r="B334" t="s">
        <v>49</v>
      </c>
      <c r="C334" t="s">
        <v>10</v>
      </c>
      <c r="D334" s="1">
        <v>45778</v>
      </c>
      <c r="E334">
        <v>26000</v>
      </c>
    </row>
    <row r="335" spans="1:5" x14ac:dyDescent="0.35">
      <c r="A335" t="s">
        <v>5</v>
      </c>
      <c r="B335" t="s">
        <v>6</v>
      </c>
      <c r="C335" t="s">
        <v>28</v>
      </c>
      <c r="D335" s="1">
        <v>45689</v>
      </c>
      <c r="E335">
        <v>85000</v>
      </c>
    </row>
    <row r="336" spans="1:5" x14ac:dyDescent="0.35">
      <c r="A336" t="s">
        <v>91</v>
      </c>
      <c r="B336" t="s">
        <v>102</v>
      </c>
      <c r="C336" t="s">
        <v>28</v>
      </c>
      <c r="D336" s="1">
        <v>45748</v>
      </c>
      <c r="E336">
        <v>90000</v>
      </c>
    </row>
    <row r="337" spans="1:5" x14ac:dyDescent="0.35">
      <c r="A337" t="s">
        <v>22</v>
      </c>
      <c r="B337" t="s">
        <v>23</v>
      </c>
      <c r="C337" t="s">
        <v>16</v>
      </c>
      <c r="D337" s="1">
        <v>45748</v>
      </c>
      <c r="E337">
        <v>111000</v>
      </c>
    </row>
    <row r="338" spans="1:5" x14ac:dyDescent="0.35">
      <c r="A338" t="s">
        <v>43</v>
      </c>
      <c r="B338" t="s">
        <v>44</v>
      </c>
      <c r="C338" t="s">
        <v>21</v>
      </c>
      <c r="D338" s="1">
        <v>45809</v>
      </c>
      <c r="E338">
        <v>27000</v>
      </c>
    </row>
    <row r="339" spans="1:5" x14ac:dyDescent="0.35">
      <c r="A339" t="s">
        <v>8</v>
      </c>
      <c r="B339" t="s">
        <v>9</v>
      </c>
      <c r="C339" t="s">
        <v>10</v>
      </c>
      <c r="D339" s="1">
        <v>45931</v>
      </c>
      <c r="E339">
        <v>35000</v>
      </c>
    </row>
    <row r="340" spans="1:5" x14ac:dyDescent="0.35">
      <c r="A340" t="s">
        <v>78</v>
      </c>
      <c r="B340" t="s">
        <v>80</v>
      </c>
      <c r="C340" t="s">
        <v>28</v>
      </c>
      <c r="D340" s="1">
        <v>45689</v>
      </c>
      <c r="E340">
        <v>49000</v>
      </c>
    </row>
    <row r="341" spans="1:5" x14ac:dyDescent="0.35">
      <c r="A341" t="s">
        <v>33</v>
      </c>
      <c r="B341" t="s">
        <v>34</v>
      </c>
      <c r="C341" t="s">
        <v>28</v>
      </c>
      <c r="D341" s="1">
        <v>45689</v>
      </c>
      <c r="E341">
        <v>66000</v>
      </c>
    </row>
    <row r="342" spans="1:5" x14ac:dyDescent="0.35">
      <c r="A342" t="s">
        <v>39</v>
      </c>
      <c r="B342" t="s">
        <v>40</v>
      </c>
      <c r="C342" t="s">
        <v>50</v>
      </c>
      <c r="D342" s="1">
        <v>45962</v>
      </c>
      <c r="E342">
        <v>19000</v>
      </c>
    </row>
    <row r="343" spans="1:5" x14ac:dyDescent="0.35">
      <c r="A343" t="s">
        <v>35</v>
      </c>
      <c r="B343" t="s">
        <v>36</v>
      </c>
      <c r="C343" t="s">
        <v>7</v>
      </c>
      <c r="D343" s="1">
        <v>45992</v>
      </c>
      <c r="E343">
        <v>16000</v>
      </c>
    </row>
    <row r="344" spans="1:5" x14ac:dyDescent="0.35">
      <c r="A344" t="s">
        <v>60</v>
      </c>
      <c r="B344" t="s">
        <v>61</v>
      </c>
      <c r="C344" t="s">
        <v>28</v>
      </c>
      <c r="D344" s="1">
        <v>45839</v>
      </c>
      <c r="E344">
        <v>35000</v>
      </c>
    </row>
    <row r="345" spans="1:5" x14ac:dyDescent="0.35">
      <c r="A345" t="s">
        <v>11</v>
      </c>
      <c r="B345" t="s">
        <v>59</v>
      </c>
      <c r="C345" t="s">
        <v>21</v>
      </c>
      <c r="D345" s="1">
        <v>45870</v>
      </c>
      <c r="E345">
        <v>27000</v>
      </c>
    </row>
    <row r="346" spans="1:5" x14ac:dyDescent="0.35">
      <c r="A346" t="s">
        <v>48</v>
      </c>
      <c r="B346" t="s">
        <v>49</v>
      </c>
      <c r="C346" t="s">
        <v>7</v>
      </c>
      <c r="D346" s="1">
        <v>45870</v>
      </c>
      <c r="E346">
        <v>26000</v>
      </c>
    </row>
    <row r="347" spans="1:5" x14ac:dyDescent="0.35">
      <c r="A347" t="s">
        <v>41</v>
      </c>
      <c r="B347" t="s">
        <v>42</v>
      </c>
      <c r="C347" t="s">
        <v>10</v>
      </c>
      <c r="D347" s="1">
        <v>45717</v>
      </c>
      <c r="E347">
        <v>17000</v>
      </c>
    </row>
    <row r="348" spans="1:5" x14ac:dyDescent="0.35">
      <c r="A348" t="s">
        <v>8</v>
      </c>
      <c r="B348" t="s">
        <v>9</v>
      </c>
      <c r="C348" t="s">
        <v>28</v>
      </c>
      <c r="D348" s="1">
        <v>45809</v>
      </c>
      <c r="E348">
        <v>70000</v>
      </c>
    </row>
    <row r="349" spans="1:5" x14ac:dyDescent="0.35">
      <c r="A349" t="s">
        <v>53</v>
      </c>
      <c r="B349" t="s">
        <v>54</v>
      </c>
      <c r="C349" t="s">
        <v>10</v>
      </c>
      <c r="D349" s="1">
        <v>45689</v>
      </c>
      <c r="E349">
        <v>35000</v>
      </c>
    </row>
    <row r="350" spans="1:5" x14ac:dyDescent="0.35">
      <c r="A350" t="s">
        <v>39</v>
      </c>
      <c r="B350" t="s">
        <v>40</v>
      </c>
      <c r="C350" t="s">
        <v>7</v>
      </c>
      <c r="D350" s="1">
        <v>45717</v>
      </c>
      <c r="E350">
        <v>26000</v>
      </c>
    </row>
    <row r="351" spans="1:5" x14ac:dyDescent="0.35">
      <c r="A351" t="s">
        <v>60</v>
      </c>
      <c r="B351" t="s">
        <v>61</v>
      </c>
      <c r="C351" t="s">
        <v>10</v>
      </c>
      <c r="D351" s="1">
        <v>45717</v>
      </c>
      <c r="E351">
        <v>23000</v>
      </c>
    </row>
    <row r="352" spans="1:5" x14ac:dyDescent="0.35">
      <c r="A352" t="s">
        <v>60</v>
      </c>
      <c r="B352" t="s">
        <v>61</v>
      </c>
      <c r="C352" t="s">
        <v>21</v>
      </c>
      <c r="D352" s="1">
        <v>45931</v>
      </c>
      <c r="E352">
        <v>18000</v>
      </c>
    </row>
    <row r="353" spans="1:5" x14ac:dyDescent="0.35">
      <c r="A353" t="s">
        <v>29</v>
      </c>
      <c r="B353" t="s">
        <v>46</v>
      </c>
      <c r="C353" t="s">
        <v>16</v>
      </c>
      <c r="D353" s="1">
        <v>45931</v>
      </c>
      <c r="E353">
        <v>60000</v>
      </c>
    </row>
    <row r="354" spans="1:5" x14ac:dyDescent="0.35">
      <c r="A354" t="s">
        <v>24</v>
      </c>
      <c r="B354" t="s">
        <v>45</v>
      </c>
      <c r="C354" t="s">
        <v>10</v>
      </c>
      <c r="D354" s="1">
        <v>45627</v>
      </c>
      <c r="E354">
        <v>31000</v>
      </c>
    </row>
    <row r="355" spans="1:5" x14ac:dyDescent="0.35">
      <c r="A355" t="s">
        <v>41</v>
      </c>
      <c r="B355" t="s">
        <v>42</v>
      </c>
      <c r="C355" t="s">
        <v>21</v>
      </c>
      <c r="D355" s="1">
        <v>45870</v>
      </c>
      <c r="E355">
        <v>22000</v>
      </c>
    </row>
    <row r="356" spans="1:5" x14ac:dyDescent="0.35">
      <c r="A356" t="s">
        <v>19</v>
      </c>
      <c r="B356" t="s">
        <v>20</v>
      </c>
      <c r="C356" t="s">
        <v>16</v>
      </c>
      <c r="D356" s="1">
        <v>45627</v>
      </c>
      <c r="E356">
        <v>61000</v>
      </c>
    </row>
    <row r="357" spans="1:5" x14ac:dyDescent="0.35">
      <c r="A357" t="s">
        <v>53</v>
      </c>
      <c r="B357" t="s">
        <v>103</v>
      </c>
      <c r="C357" t="s">
        <v>16</v>
      </c>
      <c r="D357" s="1">
        <v>45689</v>
      </c>
      <c r="E357">
        <v>63000</v>
      </c>
    </row>
    <row r="358" spans="1:5" x14ac:dyDescent="0.35">
      <c r="A358" t="s">
        <v>91</v>
      </c>
      <c r="B358" t="s">
        <v>92</v>
      </c>
      <c r="C358" t="s">
        <v>28</v>
      </c>
      <c r="D358" s="1">
        <v>45962</v>
      </c>
      <c r="E358">
        <v>116000</v>
      </c>
    </row>
    <row r="359" spans="1:5" x14ac:dyDescent="0.35">
      <c r="A359" t="s">
        <v>72</v>
      </c>
      <c r="B359" t="s">
        <v>73</v>
      </c>
      <c r="C359" t="s">
        <v>16</v>
      </c>
      <c r="D359" s="1">
        <v>45627</v>
      </c>
      <c r="E359">
        <v>117000</v>
      </c>
    </row>
    <row r="360" spans="1:5" x14ac:dyDescent="0.35">
      <c r="A360" t="s">
        <v>5</v>
      </c>
      <c r="B360" t="s">
        <v>6</v>
      </c>
      <c r="C360" t="s">
        <v>28</v>
      </c>
      <c r="D360" s="1">
        <v>45931</v>
      </c>
      <c r="E360">
        <v>97000</v>
      </c>
    </row>
    <row r="361" spans="1:5" x14ac:dyDescent="0.35">
      <c r="A361" t="s">
        <v>53</v>
      </c>
      <c r="B361" t="s">
        <v>54</v>
      </c>
      <c r="C361" t="s">
        <v>28</v>
      </c>
      <c r="D361" s="1">
        <v>45962</v>
      </c>
      <c r="E361">
        <v>73000</v>
      </c>
    </row>
    <row r="362" spans="1:5" x14ac:dyDescent="0.35">
      <c r="A362" t="s">
        <v>37</v>
      </c>
      <c r="B362" t="s">
        <v>38</v>
      </c>
      <c r="C362" t="s">
        <v>16</v>
      </c>
      <c r="D362" s="1">
        <v>45992</v>
      </c>
      <c r="E362">
        <v>88000</v>
      </c>
    </row>
    <row r="363" spans="1:5" x14ac:dyDescent="0.35">
      <c r="A363" t="s">
        <v>57</v>
      </c>
      <c r="B363" t="s">
        <v>58</v>
      </c>
      <c r="C363" t="s">
        <v>50</v>
      </c>
      <c r="D363" s="1">
        <v>45870</v>
      </c>
      <c r="E363">
        <v>20000</v>
      </c>
    </row>
    <row r="364" spans="1:5" x14ac:dyDescent="0.35">
      <c r="A364" t="s">
        <v>39</v>
      </c>
      <c r="B364" t="s">
        <v>40</v>
      </c>
      <c r="C364" t="s">
        <v>10</v>
      </c>
      <c r="D364" s="1">
        <v>45901</v>
      </c>
      <c r="E364">
        <v>31000</v>
      </c>
    </row>
    <row r="365" spans="1:5" x14ac:dyDescent="0.35">
      <c r="A365" t="s">
        <v>41</v>
      </c>
      <c r="B365" t="s">
        <v>42</v>
      </c>
      <c r="C365" t="s">
        <v>16</v>
      </c>
      <c r="D365" s="1">
        <v>45778</v>
      </c>
      <c r="E365">
        <v>102000</v>
      </c>
    </row>
    <row r="366" spans="1:5" x14ac:dyDescent="0.35">
      <c r="A366" t="s">
        <v>91</v>
      </c>
      <c r="B366" t="s">
        <v>92</v>
      </c>
      <c r="C366" t="s">
        <v>28</v>
      </c>
      <c r="D366" s="1">
        <v>45992</v>
      </c>
      <c r="E366">
        <v>116000</v>
      </c>
    </row>
    <row r="367" spans="1:5" x14ac:dyDescent="0.35">
      <c r="A367" t="s">
        <v>41</v>
      </c>
      <c r="B367" t="s">
        <v>42</v>
      </c>
      <c r="C367" t="s">
        <v>21</v>
      </c>
      <c r="D367" s="1">
        <v>45809</v>
      </c>
      <c r="E367">
        <v>22000</v>
      </c>
    </row>
    <row r="368" spans="1:5" x14ac:dyDescent="0.35">
      <c r="A368" t="s">
        <v>39</v>
      </c>
      <c r="B368" t="s">
        <v>40</v>
      </c>
      <c r="C368" t="s">
        <v>10</v>
      </c>
      <c r="D368" s="1">
        <v>45962</v>
      </c>
      <c r="E368">
        <v>31000</v>
      </c>
    </row>
    <row r="369" spans="1:5" x14ac:dyDescent="0.35">
      <c r="A369" t="s">
        <v>17</v>
      </c>
      <c r="B369" t="s">
        <v>104</v>
      </c>
      <c r="C369" t="s">
        <v>50</v>
      </c>
      <c r="D369" s="1">
        <v>45717</v>
      </c>
      <c r="E369">
        <v>8000</v>
      </c>
    </row>
    <row r="370" spans="1:5" x14ac:dyDescent="0.35">
      <c r="A370" t="s">
        <v>41</v>
      </c>
      <c r="B370" t="s">
        <v>42</v>
      </c>
      <c r="C370" t="s">
        <v>10</v>
      </c>
      <c r="D370" s="1">
        <v>45901</v>
      </c>
      <c r="E370" s="2" t="s">
        <v>105</v>
      </c>
    </row>
    <row r="371" spans="1:5" x14ac:dyDescent="0.35">
      <c r="A371" t="s">
        <v>70</v>
      </c>
      <c r="B371" t="s">
        <v>106</v>
      </c>
      <c r="C371" t="s">
        <v>21</v>
      </c>
      <c r="D371" s="1">
        <v>45627</v>
      </c>
      <c r="E371">
        <v>9000</v>
      </c>
    </row>
    <row r="372" spans="1:5" x14ac:dyDescent="0.35">
      <c r="A372" t="s">
        <v>11</v>
      </c>
      <c r="B372" t="s">
        <v>59</v>
      </c>
      <c r="C372" t="s">
        <v>28</v>
      </c>
      <c r="D372" s="1">
        <v>45870</v>
      </c>
      <c r="E372">
        <v>118000</v>
      </c>
    </row>
    <row r="373" spans="1:5" x14ac:dyDescent="0.35">
      <c r="A373" t="s">
        <v>37</v>
      </c>
      <c r="B373" t="s">
        <v>38</v>
      </c>
      <c r="C373" t="s">
        <v>65</v>
      </c>
      <c r="D373" s="1">
        <v>45809</v>
      </c>
      <c r="E373">
        <v>19000</v>
      </c>
    </row>
    <row r="374" spans="1:5" x14ac:dyDescent="0.35">
      <c r="A374" t="s">
        <v>72</v>
      </c>
      <c r="B374" t="s">
        <v>107</v>
      </c>
      <c r="C374" t="s">
        <v>10</v>
      </c>
      <c r="D374" s="1">
        <v>45839</v>
      </c>
      <c r="E374">
        <v>33000</v>
      </c>
    </row>
    <row r="375" spans="1:5" x14ac:dyDescent="0.35">
      <c r="A375" t="s">
        <v>33</v>
      </c>
      <c r="B375" t="s">
        <v>34</v>
      </c>
      <c r="C375" t="s">
        <v>50</v>
      </c>
      <c r="D375" s="1">
        <v>45839</v>
      </c>
      <c r="E375">
        <v>11000</v>
      </c>
    </row>
    <row r="376" spans="1:5" x14ac:dyDescent="0.35">
      <c r="A376" t="s">
        <v>5</v>
      </c>
      <c r="B376" t="s">
        <v>6</v>
      </c>
      <c r="C376" t="s">
        <v>28</v>
      </c>
      <c r="D376" s="1">
        <v>45839</v>
      </c>
      <c r="E376">
        <v>85000</v>
      </c>
    </row>
    <row r="377" spans="1:5" x14ac:dyDescent="0.35">
      <c r="A377" t="s">
        <v>48</v>
      </c>
      <c r="B377" t="s">
        <v>49</v>
      </c>
      <c r="C377" t="s">
        <v>21</v>
      </c>
      <c r="D377" s="1">
        <v>45809</v>
      </c>
      <c r="E377">
        <v>11000</v>
      </c>
    </row>
    <row r="378" spans="1:5" x14ac:dyDescent="0.35">
      <c r="A378" t="s">
        <v>70</v>
      </c>
      <c r="B378" t="s">
        <v>71</v>
      </c>
      <c r="C378" t="s">
        <v>21</v>
      </c>
      <c r="D378" s="1">
        <v>45689</v>
      </c>
      <c r="E378" s="2" t="s">
        <v>108</v>
      </c>
    </row>
    <row r="379" spans="1:5" x14ac:dyDescent="0.35">
      <c r="A379" t="s">
        <v>26</v>
      </c>
      <c r="B379" t="s">
        <v>27</v>
      </c>
      <c r="C379" t="s">
        <v>13</v>
      </c>
      <c r="D379" s="1">
        <v>45962</v>
      </c>
      <c r="E379">
        <v>10000</v>
      </c>
    </row>
    <row r="380" spans="1:5" x14ac:dyDescent="0.35">
      <c r="A380" t="s">
        <v>60</v>
      </c>
      <c r="B380" t="s">
        <v>61</v>
      </c>
      <c r="C380" t="s">
        <v>50</v>
      </c>
      <c r="D380" s="1">
        <v>45627</v>
      </c>
      <c r="E380">
        <v>18000</v>
      </c>
    </row>
    <row r="381" spans="1:5" x14ac:dyDescent="0.35">
      <c r="A381" t="s">
        <v>17</v>
      </c>
      <c r="B381" t="s">
        <v>18</v>
      </c>
      <c r="C381" t="s">
        <v>7</v>
      </c>
      <c r="D381" s="1">
        <v>45901</v>
      </c>
      <c r="E381">
        <v>45000</v>
      </c>
    </row>
    <row r="382" spans="1:5" x14ac:dyDescent="0.35">
      <c r="A382" t="s">
        <v>8</v>
      </c>
      <c r="B382" t="s">
        <v>9</v>
      </c>
      <c r="C382" t="s">
        <v>10</v>
      </c>
      <c r="D382" s="1">
        <v>45748</v>
      </c>
      <c r="E382">
        <v>35000</v>
      </c>
    </row>
    <row r="383" spans="1:5" x14ac:dyDescent="0.35">
      <c r="A383" t="s">
        <v>24</v>
      </c>
      <c r="B383" t="s">
        <v>45</v>
      </c>
      <c r="C383" t="s">
        <v>28</v>
      </c>
      <c r="D383" s="1">
        <v>45931</v>
      </c>
      <c r="E383">
        <v>100000</v>
      </c>
    </row>
    <row r="384" spans="1:5" x14ac:dyDescent="0.35">
      <c r="A384" t="s">
        <v>17</v>
      </c>
      <c r="B384" t="s">
        <v>18</v>
      </c>
      <c r="C384" t="s">
        <v>50</v>
      </c>
      <c r="D384" s="1">
        <v>45839</v>
      </c>
      <c r="E384">
        <v>10000</v>
      </c>
    </row>
    <row r="385" spans="1:5" x14ac:dyDescent="0.35">
      <c r="A385" t="s">
        <v>48</v>
      </c>
      <c r="B385" t="s">
        <v>49</v>
      </c>
      <c r="C385" t="s">
        <v>28</v>
      </c>
      <c r="D385" s="1">
        <v>45870</v>
      </c>
      <c r="E385">
        <v>112000</v>
      </c>
    </row>
    <row r="386" spans="1:5" x14ac:dyDescent="0.35">
      <c r="A386" t="s">
        <v>39</v>
      </c>
      <c r="B386" t="s">
        <v>40</v>
      </c>
      <c r="C386" t="s">
        <v>16</v>
      </c>
      <c r="D386" s="1">
        <v>45870</v>
      </c>
      <c r="E386">
        <v>60000</v>
      </c>
    </row>
    <row r="387" spans="1:5" x14ac:dyDescent="0.35">
      <c r="A387" t="s">
        <v>24</v>
      </c>
      <c r="B387" t="s">
        <v>45</v>
      </c>
      <c r="C387" t="s">
        <v>10</v>
      </c>
      <c r="D387" s="1">
        <v>45839</v>
      </c>
      <c r="E387">
        <v>38000</v>
      </c>
    </row>
    <row r="388" spans="1:5" x14ac:dyDescent="0.35">
      <c r="A388" t="s">
        <v>87</v>
      </c>
      <c r="B388" t="s">
        <v>88</v>
      </c>
      <c r="C388" t="s">
        <v>28</v>
      </c>
      <c r="D388" s="1">
        <v>45870</v>
      </c>
      <c r="E388">
        <v>73000</v>
      </c>
    </row>
    <row r="389" spans="1:5" x14ac:dyDescent="0.35">
      <c r="A389" t="s">
        <v>48</v>
      </c>
      <c r="B389" t="s">
        <v>49</v>
      </c>
      <c r="C389" t="s">
        <v>7</v>
      </c>
      <c r="D389" s="1">
        <v>45717</v>
      </c>
      <c r="E389">
        <v>26000</v>
      </c>
    </row>
    <row r="390" spans="1:5" x14ac:dyDescent="0.35">
      <c r="A390" t="s">
        <v>11</v>
      </c>
      <c r="B390" t="s">
        <v>59</v>
      </c>
      <c r="C390" t="s">
        <v>16</v>
      </c>
      <c r="D390" s="1">
        <v>45627</v>
      </c>
      <c r="E390">
        <v>118000</v>
      </c>
    </row>
    <row r="391" spans="1:5" x14ac:dyDescent="0.35">
      <c r="A391" t="s">
        <v>74</v>
      </c>
      <c r="B391" t="s">
        <v>75</v>
      </c>
      <c r="C391" t="s">
        <v>16</v>
      </c>
      <c r="D391" s="1">
        <v>45748</v>
      </c>
      <c r="E391">
        <v>120000</v>
      </c>
    </row>
    <row r="392" spans="1:5" x14ac:dyDescent="0.35">
      <c r="A392" t="s">
        <v>62</v>
      </c>
      <c r="B392" t="s">
        <v>63</v>
      </c>
      <c r="C392" t="s">
        <v>28</v>
      </c>
      <c r="D392" s="1">
        <v>45689</v>
      </c>
      <c r="E392">
        <v>62000</v>
      </c>
    </row>
    <row r="393" spans="1:5" x14ac:dyDescent="0.35">
      <c r="A393" t="s">
        <v>53</v>
      </c>
      <c r="B393" t="s">
        <v>54</v>
      </c>
      <c r="C393" t="s">
        <v>7</v>
      </c>
      <c r="D393" s="1">
        <v>45839</v>
      </c>
      <c r="E393">
        <v>35000</v>
      </c>
    </row>
    <row r="394" spans="1:5" x14ac:dyDescent="0.35">
      <c r="A394" t="s">
        <v>33</v>
      </c>
      <c r="B394" t="s">
        <v>34</v>
      </c>
      <c r="C394" t="s">
        <v>28</v>
      </c>
      <c r="D394" s="1">
        <v>45717</v>
      </c>
      <c r="E394">
        <v>66000</v>
      </c>
    </row>
    <row r="395" spans="1:5" x14ac:dyDescent="0.35">
      <c r="A395" t="s">
        <v>68</v>
      </c>
      <c r="B395" t="s">
        <v>69</v>
      </c>
      <c r="C395" t="s">
        <v>16</v>
      </c>
      <c r="D395" s="1">
        <v>45962</v>
      </c>
      <c r="E395">
        <v>40000</v>
      </c>
    </row>
    <row r="396" spans="1:5" x14ac:dyDescent="0.35">
      <c r="A396" t="s">
        <v>22</v>
      </c>
      <c r="B396" t="s">
        <v>23</v>
      </c>
      <c r="C396" t="s">
        <v>16</v>
      </c>
      <c r="D396" s="1">
        <v>45839</v>
      </c>
      <c r="E396">
        <v>111000</v>
      </c>
    </row>
    <row r="397" spans="1:5" x14ac:dyDescent="0.35">
      <c r="A397" t="s">
        <v>48</v>
      </c>
      <c r="B397" t="s">
        <v>49</v>
      </c>
      <c r="C397" t="s">
        <v>16</v>
      </c>
      <c r="D397" s="1">
        <v>45658</v>
      </c>
      <c r="E397">
        <v>100000</v>
      </c>
    </row>
    <row r="398" spans="1:5" x14ac:dyDescent="0.35">
      <c r="A398" t="s">
        <v>91</v>
      </c>
      <c r="B398" t="s">
        <v>92</v>
      </c>
      <c r="C398" t="s">
        <v>10</v>
      </c>
      <c r="D398" s="1">
        <v>45962</v>
      </c>
      <c r="E398">
        <v>25000</v>
      </c>
    </row>
    <row r="399" spans="1:5" x14ac:dyDescent="0.35">
      <c r="A399" t="s">
        <v>26</v>
      </c>
      <c r="B399" t="s">
        <v>27</v>
      </c>
      <c r="C399" t="s">
        <v>16</v>
      </c>
      <c r="D399" s="1">
        <v>45901</v>
      </c>
      <c r="E399">
        <v>72000</v>
      </c>
    </row>
    <row r="400" spans="1:5" x14ac:dyDescent="0.35">
      <c r="A400" t="s">
        <v>78</v>
      </c>
      <c r="B400" t="s">
        <v>79</v>
      </c>
      <c r="C400" t="s">
        <v>28</v>
      </c>
      <c r="D400" s="1">
        <v>45717</v>
      </c>
      <c r="E400">
        <v>49000</v>
      </c>
    </row>
    <row r="401" spans="1:5" x14ac:dyDescent="0.35">
      <c r="A401" t="s">
        <v>48</v>
      </c>
      <c r="B401" t="s">
        <v>49</v>
      </c>
      <c r="C401" t="s">
        <v>16</v>
      </c>
      <c r="D401" s="1">
        <v>45839</v>
      </c>
      <c r="E401">
        <v>112000</v>
      </c>
    </row>
    <row r="402" spans="1:5" x14ac:dyDescent="0.35">
      <c r="A402" t="s">
        <v>33</v>
      </c>
      <c r="B402" t="s">
        <v>34</v>
      </c>
      <c r="C402" t="s">
        <v>21</v>
      </c>
      <c r="D402" s="1">
        <v>45870</v>
      </c>
      <c r="E402">
        <v>11000</v>
      </c>
    </row>
    <row r="403" spans="1:5" x14ac:dyDescent="0.35">
      <c r="A403" t="s">
        <v>19</v>
      </c>
      <c r="B403" t="s">
        <v>20</v>
      </c>
      <c r="C403" t="s">
        <v>16</v>
      </c>
      <c r="D403" s="1">
        <v>45809</v>
      </c>
      <c r="E403">
        <v>79000</v>
      </c>
    </row>
    <row r="404" spans="1:5" x14ac:dyDescent="0.35">
      <c r="A404" t="s">
        <v>51</v>
      </c>
      <c r="B404" t="s">
        <v>52</v>
      </c>
      <c r="C404" t="s">
        <v>10</v>
      </c>
      <c r="D404" s="1">
        <v>45658</v>
      </c>
      <c r="E404">
        <v>27000</v>
      </c>
    </row>
    <row r="405" spans="1:5" x14ac:dyDescent="0.35">
      <c r="A405" t="s">
        <v>29</v>
      </c>
      <c r="B405" t="s">
        <v>46</v>
      </c>
      <c r="C405" t="s">
        <v>10</v>
      </c>
      <c r="D405" s="1">
        <v>45839</v>
      </c>
      <c r="E405">
        <v>36000</v>
      </c>
    </row>
    <row r="406" spans="1:5" x14ac:dyDescent="0.35">
      <c r="A406" t="s">
        <v>72</v>
      </c>
      <c r="B406" t="s">
        <v>73</v>
      </c>
      <c r="C406" t="s">
        <v>28</v>
      </c>
      <c r="D406" s="1">
        <v>45839</v>
      </c>
      <c r="E406">
        <v>117000</v>
      </c>
    </row>
    <row r="407" spans="1:5" x14ac:dyDescent="0.35">
      <c r="A407" t="s">
        <v>37</v>
      </c>
      <c r="B407" t="s">
        <v>38</v>
      </c>
      <c r="C407" t="s">
        <v>28</v>
      </c>
      <c r="D407" s="1">
        <v>45901</v>
      </c>
      <c r="E407">
        <v>88000</v>
      </c>
    </row>
    <row r="408" spans="1:5" x14ac:dyDescent="0.35">
      <c r="A408" t="s">
        <v>70</v>
      </c>
      <c r="B408" t="s">
        <v>71</v>
      </c>
      <c r="C408" t="s">
        <v>28</v>
      </c>
      <c r="D408" s="1">
        <v>45689</v>
      </c>
      <c r="E408">
        <v>85000</v>
      </c>
    </row>
    <row r="409" spans="1:5" x14ac:dyDescent="0.35">
      <c r="A409" t="s">
        <v>70</v>
      </c>
      <c r="B409" t="s">
        <v>71</v>
      </c>
      <c r="C409" t="s">
        <v>21</v>
      </c>
      <c r="D409" s="1">
        <v>45931</v>
      </c>
      <c r="E409">
        <v>9000</v>
      </c>
    </row>
    <row r="410" spans="1:5" x14ac:dyDescent="0.35">
      <c r="A410" t="s">
        <v>29</v>
      </c>
      <c r="B410" t="s">
        <v>46</v>
      </c>
      <c r="C410" t="s">
        <v>10</v>
      </c>
      <c r="D410" s="1">
        <v>45627</v>
      </c>
      <c r="E410">
        <v>28000</v>
      </c>
    </row>
    <row r="411" spans="1:5" x14ac:dyDescent="0.35">
      <c r="A411" t="s">
        <v>24</v>
      </c>
      <c r="B411" t="s">
        <v>45</v>
      </c>
      <c r="C411" t="s">
        <v>28</v>
      </c>
      <c r="D411" s="1">
        <v>45962</v>
      </c>
      <c r="E411">
        <v>100000</v>
      </c>
    </row>
    <row r="412" spans="1:5" x14ac:dyDescent="0.35">
      <c r="A412" t="s">
        <v>78</v>
      </c>
      <c r="B412" t="s">
        <v>79</v>
      </c>
      <c r="C412" t="s">
        <v>16</v>
      </c>
      <c r="D412" s="1">
        <v>45901</v>
      </c>
      <c r="E412">
        <v>49000</v>
      </c>
    </row>
    <row r="413" spans="1:5" x14ac:dyDescent="0.35">
      <c r="A413" t="s">
        <v>55</v>
      </c>
      <c r="B413" t="s">
        <v>56</v>
      </c>
      <c r="C413" t="s">
        <v>16</v>
      </c>
      <c r="D413" s="1">
        <v>45901</v>
      </c>
      <c r="E413">
        <v>69000</v>
      </c>
    </row>
    <row r="414" spans="1:5" x14ac:dyDescent="0.35">
      <c r="A414" t="s">
        <v>35</v>
      </c>
      <c r="B414" t="s">
        <v>36</v>
      </c>
      <c r="C414" t="s">
        <v>28</v>
      </c>
      <c r="D414" s="1">
        <v>45962</v>
      </c>
      <c r="E414">
        <v>33000</v>
      </c>
    </row>
    <row r="415" spans="1:5" x14ac:dyDescent="0.35">
      <c r="A415" t="s">
        <v>48</v>
      </c>
      <c r="B415" t="s">
        <v>49</v>
      </c>
      <c r="C415" t="s">
        <v>28</v>
      </c>
      <c r="D415" s="1">
        <v>45962</v>
      </c>
      <c r="E415">
        <v>112000</v>
      </c>
    </row>
    <row r="416" spans="1:5" x14ac:dyDescent="0.35">
      <c r="A416" t="s">
        <v>14</v>
      </c>
      <c r="B416" t="s">
        <v>15</v>
      </c>
      <c r="C416" t="s">
        <v>28</v>
      </c>
      <c r="D416" s="1">
        <v>45839</v>
      </c>
      <c r="E416">
        <v>79000</v>
      </c>
    </row>
    <row r="417" spans="1:5" x14ac:dyDescent="0.35">
      <c r="A417" t="s">
        <v>39</v>
      </c>
      <c r="B417" t="s">
        <v>40</v>
      </c>
      <c r="C417" t="s">
        <v>16</v>
      </c>
      <c r="D417" s="1">
        <v>45778</v>
      </c>
      <c r="E417">
        <v>60000</v>
      </c>
    </row>
    <row r="418" spans="1:5" x14ac:dyDescent="0.35">
      <c r="A418" t="s">
        <v>41</v>
      </c>
      <c r="B418" t="s">
        <v>42</v>
      </c>
      <c r="C418" t="s">
        <v>10</v>
      </c>
      <c r="D418" s="1">
        <v>45992</v>
      </c>
      <c r="E418">
        <v>21000</v>
      </c>
    </row>
    <row r="419" spans="1:5" x14ac:dyDescent="0.35">
      <c r="A419" t="s">
        <v>37</v>
      </c>
      <c r="B419" t="s">
        <v>38</v>
      </c>
      <c r="C419" t="s">
        <v>16</v>
      </c>
      <c r="D419" s="1">
        <v>45839</v>
      </c>
      <c r="E419">
        <v>88000</v>
      </c>
    </row>
    <row r="420" spans="1:5" x14ac:dyDescent="0.35">
      <c r="A420" t="s">
        <v>41</v>
      </c>
      <c r="B420" t="s">
        <v>42</v>
      </c>
      <c r="C420" t="s">
        <v>7</v>
      </c>
      <c r="D420" s="1">
        <v>45809</v>
      </c>
      <c r="E420">
        <v>17000</v>
      </c>
    </row>
    <row r="421" spans="1:5" x14ac:dyDescent="0.35">
      <c r="A421" t="s">
        <v>22</v>
      </c>
      <c r="B421" t="s">
        <v>23</v>
      </c>
      <c r="C421" t="s">
        <v>28</v>
      </c>
      <c r="D421" s="1">
        <v>45689</v>
      </c>
      <c r="E421">
        <v>111000</v>
      </c>
    </row>
    <row r="422" spans="1:5" x14ac:dyDescent="0.35">
      <c r="A422" t="s">
        <v>60</v>
      </c>
      <c r="B422" t="s">
        <v>61</v>
      </c>
      <c r="C422" t="s">
        <v>10</v>
      </c>
      <c r="D422" s="1">
        <v>45658</v>
      </c>
      <c r="E422">
        <v>23000</v>
      </c>
    </row>
    <row r="423" spans="1:5" x14ac:dyDescent="0.35">
      <c r="A423" t="s">
        <v>57</v>
      </c>
      <c r="B423" t="s">
        <v>58</v>
      </c>
      <c r="C423" t="s">
        <v>16</v>
      </c>
      <c r="D423" s="1">
        <v>45992</v>
      </c>
      <c r="E423">
        <v>52000</v>
      </c>
    </row>
    <row r="424" spans="1:5" x14ac:dyDescent="0.35">
      <c r="A424" t="s">
        <v>11</v>
      </c>
      <c r="B424" t="s">
        <v>59</v>
      </c>
      <c r="C424" t="s">
        <v>28</v>
      </c>
      <c r="D424" s="1">
        <v>45717</v>
      </c>
      <c r="E424">
        <v>118000</v>
      </c>
    </row>
    <row r="425" spans="1:5" x14ac:dyDescent="0.35">
      <c r="A425" t="s">
        <v>24</v>
      </c>
      <c r="B425" t="s">
        <v>45</v>
      </c>
      <c r="C425" t="s">
        <v>10</v>
      </c>
      <c r="D425" s="1">
        <v>45689</v>
      </c>
      <c r="E425">
        <v>31000</v>
      </c>
    </row>
    <row r="426" spans="1:5" x14ac:dyDescent="0.35">
      <c r="A426" t="s">
        <v>48</v>
      </c>
      <c r="B426" t="s">
        <v>49</v>
      </c>
      <c r="C426" t="s">
        <v>50</v>
      </c>
      <c r="D426" s="1">
        <v>45748</v>
      </c>
      <c r="E426">
        <v>11000</v>
      </c>
    </row>
    <row r="427" spans="1:5" x14ac:dyDescent="0.35">
      <c r="A427" t="s">
        <v>5</v>
      </c>
      <c r="B427" t="s">
        <v>6</v>
      </c>
      <c r="C427" t="s">
        <v>21</v>
      </c>
      <c r="D427" s="1">
        <v>45839</v>
      </c>
      <c r="E427">
        <v>19000</v>
      </c>
    </row>
    <row r="428" spans="1:5" x14ac:dyDescent="0.35">
      <c r="A428" t="s">
        <v>5</v>
      </c>
      <c r="B428" t="s">
        <v>6</v>
      </c>
      <c r="C428" t="s">
        <v>65</v>
      </c>
      <c r="D428" s="1">
        <v>45748</v>
      </c>
      <c r="E428">
        <v>24000</v>
      </c>
    </row>
    <row r="429" spans="1:5" x14ac:dyDescent="0.35">
      <c r="A429" t="s">
        <v>22</v>
      </c>
      <c r="B429" t="s">
        <v>23</v>
      </c>
      <c r="C429" t="s">
        <v>28</v>
      </c>
      <c r="D429" s="1">
        <v>45658</v>
      </c>
      <c r="E429">
        <v>111000</v>
      </c>
    </row>
    <row r="430" spans="1:5" x14ac:dyDescent="0.35">
      <c r="A430" t="s">
        <v>19</v>
      </c>
      <c r="B430" t="s">
        <v>20</v>
      </c>
      <c r="C430" t="s">
        <v>21</v>
      </c>
      <c r="D430" s="1">
        <v>45931</v>
      </c>
      <c r="E430">
        <v>10000</v>
      </c>
    </row>
    <row r="431" spans="1:5" x14ac:dyDescent="0.35">
      <c r="A431" t="s">
        <v>11</v>
      </c>
      <c r="B431" t="s">
        <v>59</v>
      </c>
      <c r="C431" t="s">
        <v>50</v>
      </c>
      <c r="D431" s="1">
        <v>45839</v>
      </c>
      <c r="E431">
        <v>27000</v>
      </c>
    </row>
    <row r="432" spans="1:5" x14ac:dyDescent="0.35">
      <c r="A432" t="s">
        <v>39</v>
      </c>
      <c r="B432" t="s">
        <v>40</v>
      </c>
      <c r="C432" t="s">
        <v>10</v>
      </c>
      <c r="D432" s="1">
        <v>45870</v>
      </c>
      <c r="E432">
        <v>31000</v>
      </c>
    </row>
    <row r="433" spans="1:5" x14ac:dyDescent="0.35">
      <c r="A433" t="s">
        <v>19</v>
      </c>
      <c r="B433" t="s">
        <v>20</v>
      </c>
      <c r="C433" t="s">
        <v>10</v>
      </c>
      <c r="D433" s="1">
        <v>45809</v>
      </c>
      <c r="E433">
        <v>30000</v>
      </c>
    </row>
    <row r="434" spans="1:5" x14ac:dyDescent="0.35">
      <c r="A434" t="s">
        <v>74</v>
      </c>
      <c r="B434" t="s">
        <v>75</v>
      </c>
      <c r="C434" t="s">
        <v>16</v>
      </c>
      <c r="D434" s="1">
        <v>45717</v>
      </c>
      <c r="E434">
        <v>120000</v>
      </c>
    </row>
    <row r="435" spans="1:5" x14ac:dyDescent="0.35">
      <c r="A435" t="s">
        <v>22</v>
      </c>
      <c r="B435" t="s">
        <v>23</v>
      </c>
      <c r="C435" t="s">
        <v>16</v>
      </c>
      <c r="D435" s="1">
        <v>45992</v>
      </c>
      <c r="E435">
        <v>132000</v>
      </c>
    </row>
    <row r="436" spans="1:5" x14ac:dyDescent="0.35">
      <c r="A436" t="s">
        <v>33</v>
      </c>
      <c r="B436" t="s">
        <v>34</v>
      </c>
      <c r="C436" t="s">
        <v>28</v>
      </c>
      <c r="D436" s="1">
        <v>45901</v>
      </c>
      <c r="E436">
        <v>66000</v>
      </c>
    </row>
    <row r="437" spans="1:5" x14ac:dyDescent="0.35">
      <c r="A437" t="s">
        <v>72</v>
      </c>
      <c r="B437" t="s">
        <v>73</v>
      </c>
      <c r="C437" t="s">
        <v>10</v>
      </c>
      <c r="D437" s="1">
        <v>45778</v>
      </c>
      <c r="E437">
        <v>27000</v>
      </c>
    </row>
    <row r="438" spans="1:5" x14ac:dyDescent="0.35">
      <c r="A438" t="s">
        <v>43</v>
      </c>
      <c r="B438" t="s">
        <v>44</v>
      </c>
      <c r="C438" t="s">
        <v>10</v>
      </c>
      <c r="D438" s="1">
        <v>45689</v>
      </c>
      <c r="E438">
        <v>18000</v>
      </c>
    </row>
    <row r="439" spans="1:5" x14ac:dyDescent="0.35">
      <c r="A439" t="s">
        <v>70</v>
      </c>
      <c r="B439" t="s">
        <v>71</v>
      </c>
      <c r="C439" t="s">
        <v>13</v>
      </c>
      <c r="D439" s="1">
        <v>45717</v>
      </c>
      <c r="E439">
        <v>9000</v>
      </c>
    </row>
    <row r="440" spans="1:5" x14ac:dyDescent="0.35">
      <c r="A440" t="s">
        <v>41</v>
      </c>
      <c r="B440" t="s">
        <v>42</v>
      </c>
      <c r="C440" t="s">
        <v>16</v>
      </c>
      <c r="D440" s="1">
        <v>45992</v>
      </c>
      <c r="E440">
        <v>102000</v>
      </c>
    </row>
    <row r="441" spans="1:5" x14ac:dyDescent="0.35">
      <c r="A441" t="s">
        <v>5</v>
      </c>
      <c r="B441" t="s">
        <v>6</v>
      </c>
      <c r="C441" t="s">
        <v>16</v>
      </c>
      <c r="D441" s="1">
        <v>45778</v>
      </c>
      <c r="E441">
        <v>85000</v>
      </c>
    </row>
    <row r="442" spans="1:5" x14ac:dyDescent="0.35">
      <c r="A442" t="s">
        <v>5</v>
      </c>
      <c r="B442" t="s">
        <v>6</v>
      </c>
      <c r="C442" t="s">
        <v>13</v>
      </c>
      <c r="D442" s="1">
        <v>45748</v>
      </c>
      <c r="E442">
        <v>19000</v>
      </c>
    </row>
    <row r="443" spans="1:5" x14ac:dyDescent="0.35">
      <c r="A443" t="s">
        <v>37</v>
      </c>
      <c r="B443" t="s">
        <v>38</v>
      </c>
      <c r="C443" t="s">
        <v>28</v>
      </c>
      <c r="D443" s="1">
        <v>45778</v>
      </c>
      <c r="E443">
        <v>88000</v>
      </c>
    </row>
    <row r="444" spans="1:5" x14ac:dyDescent="0.35">
      <c r="A444" t="s">
        <v>91</v>
      </c>
      <c r="B444" t="s">
        <v>92</v>
      </c>
      <c r="C444" t="s">
        <v>65</v>
      </c>
      <c r="D444" s="1">
        <v>45992</v>
      </c>
      <c r="E444">
        <v>25000</v>
      </c>
    </row>
    <row r="445" spans="1:5" x14ac:dyDescent="0.35">
      <c r="A445" t="s">
        <v>70</v>
      </c>
      <c r="B445" t="s">
        <v>71</v>
      </c>
      <c r="C445" t="s">
        <v>21</v>
      </c>
      <c r="D445" s="1">
        <v>45870</v>
      </c>
      <c r="E445">
        <v>9000</v>
      </c>
    </row>
    <row r="446" spans="1:5" x14ac:dyDescent="0.35">
      <c r="A446" t="s">
        <v>53</v>
      </c>
      <c r="B446" t="s">
        <v>54</v>
      </c>
      <c r="C446" t="s">
        <v>10</v>
      </c>
      <c r="D446" s="1">
        <v>45992</v>
      </c>
      <c r="E446">
        <v>40000</v>
      </c>
    </row>
    <row r="447" spans="1:5" x14ac:dyDescent="0.35">
      <c r="A447" t="s">
        <v>43</v>
      </c>
      <c r="B447" t="s">
        <v>44</v>
      </c>
      <c r="C447" t="s">
        <v>7</v>
      </c>
      <c r="D447" s="1">
        <v>45901</v>
      </c>
      <c r="E447" s="2" t="s">
        <v>93</v>
      </c>
    </row>
    <row r="448" spans="1:5" x14ac:dyDescent="0.35">
      <c r="A448" t="s">
        <v>48</v>
      </c>
      <c r="B448" t="s">
        <v>49</v>
      </c>
      <c r="C448" t="s">
        <v>21</v>
      </c>
      <c r="D448" s="1">
        <v>45689</v>
      </c>
      <c r="E448">
        <v>11000</v>
      </c>
    </row>
    <row r="449" spans="1:5" x14ac:dyDescent="0.35">
      <c r="A449" t="s">
        <v>51</v>
      </c>
      <c r="B449" t="s">
        <v>52</v>
      </c>
      <c r="C449" t="s">
        <v>28</v>
      </c>
      <c r="D449" s="1">
        <v>45689</v>
      </c>
      <c r="E449">
        <v>38000</v>
      </c>
    </row>
    <row r="450" spans="1:5" x14ac:dyDescent="0.35">
      <c r="A450" t="s">
        <v>41</v>
      </c>
      <c r="B450" t="s">
        <v>42</v>
      </c>
      <c r="C450" t="s">
        <v>13</v>
      </c>
      <c r="D450" s="1">
        <v>45962</v>
      </c>
      <c r="E450">
        <v>22000</v>
      </c>
    </row>
    <row r="451" spans="1:5" x14ac:dyDescent="0.35">
      <c r="A451" t="s">
        <v>72</v>
      </c>
      <c r="B451" t="s">
        <v>73</v>
      </c>
      <c r="C451" t="s">
        <v>28</v>
      </c>
      <c r="D451" s="1">
        <v>45931</v>
      </c>
      <c r="E451">
        <v>117000</v>
      </c>
    </row>
    <row r="452" spans="1:5" x14ac:dyDescent="0.35">
      <c r="A452" t="s">
        <v>53</v>
      </c>
      <c r="B452" t="s">
        <v>54</v>
      </c>
      <c r="C452" t="s">
        <v>10</v>
      </c>
      <c r="D452" s="1">
        <v>45748</v>
      </c>
      <c r="E452">
        <v>35000</v>
      </c>
    </row>
    <row r="453" spans="1:5" x14ac:dyDescent="0.35">
      <c r="A453" t="s">
        <v>41</v>
      </c>
      <c r="B453" t="s">
        <v>42</v>
      </c>
      <c r="C453" t="s">
        <v>7</v>
      </c>
      <c r="D453" s="1">
        <v>45839</v>
      </c>
      <c r="E453">
        <v>17000</v>
      </c>
    </row>
    <row r="454" spans="1:5" x14ac:dyDescent="0.35">
      <c r="A454" t="s">
        <v>91</v>
      </c>
      <c r="B454" t="s">
        <v>92</v>
      </c>
      <c r="C454" t="s">
        <v>16</v>
      </c>
      <c r="D454" s="1">
        <v>45778</v>
      </c>
      <c r="E454">
        <v>90000</v>
      </c>
    </row>
    <row r="455" spans="1:5" x14ac:dyDescent="0.35">
      <c r="A455" t="s">
        <v>43</v>
      </c>
      <c r="B455" t="s">
        <v>44</v>
      </c>
      <c r="C455" t="s">
        <v>16</v>
      </c>
      <c r="D455" s="1">
        <v>45962</v>
      </c>
      <c r="E455">
        <v>70000</v>
      </c>
    </row>
    <row r="456" spans="1:5" x14ac:dyDescent="0.35">
      <c r="A456" t="s">
        <v>74</v>
      </c>
      <c r="B456" t="s">
        <v>75</v>
      </c>
      <c r="C456" t="s">
        <v>28</v>
      </c>
      <c r="D456" s="1">
        <v>45839</v>
      </c>
      <c r="E456" s="2" t="s">
        <v>109</v>
      </c>
    </row>
    <row r="457" spans="1:5" x14ac:dyDescent="0.35">
      <c r="A457" t="s">
        <v>8</v>
      </c>
      <c r="B457" t="s">
        <v>9</v>
      </c>
      <c r="C457" t="s">
        <v>21</v>
      </c>
      <c r="D457" s="1">
        <v>45839</v>
      </c>
      <c r="E457">
        <v>17000</v>
      </c>
    </row>
    <row r="458" spans="1:5" x14ac:dyDescent="0.35">
      <c r="A458" t="s">
        <v>5</v>
      </c>
      <c r="B458" t="s">
        <v>6</v>
      </c>
      <c r="C458" t="s">
        <v>21</v>
      </c>
      <c r="D458" s="1">
        <v>45778</v>
      </c>
      <c r="E458">
        <v>19000</v>
      </c>
    </row>
    <row r="459" spans="1:5" x14ac:dyDescent="0.35">
      <c r="A459" t="s">
        <v>66</v>
      </c>
      <c r="B459" t="s">
        <v>67</v>
      </c>
      <c r="C459" t="s">
        <v>21</v>
      </c>
      <c r="D459" s="1">
        <v>45962</v>
      </c>
      <c r="E459" t="s">
        <v>110</v>
      </c>
    </row>
    <row r="460" spans="1:5" x14ac:dyDescent="0.35">
      <c r="A460" t="s">
        <v>29</v>
      </c>
      <c r="B460" t="s">
        <v>30</v>
      </c>
      <c r="C460" t="s">
        <v>28</v>
      </c>
      <c r="D460" s="1">
        <v>45809</v>
      </c>
      <c r="E460">
        <v>60000</v>
      </c>
    </row>
    <row r="461" spans="1:5" x14ac:dyDescent="0.35">
      <c r="A461" t="s">
        <v>43</v>
      </c>
      <c r="B461" t="s">
        <v>44</v>
      </c>
      <c r="C461" t="s">
        <v>28</v>
      </c>
      <c r="D461" s="1">
        <v>45931</v>
      </c>
      <c r="E461">
        <v>70000</v>
      </c>
    </row>
    <row r="462" spans="1:5" x14ac:dyDescent="0.35">
      <c r="A462" t="s">
        <v>22</v>
      </c>
      <c r="B462" t="s">
        <v>23</v>
      </c>
      <c r="C462" t="s">
        <v>28</v>
      </c>
      <c r="D462" s="1">
        <v>45809</v>
      </c>
      <c r="E462">
        <v>111000</v>
      </c>
    </row>
    <row r="463" spans="1:5" x14ac:dyDescent="0.35">
      <c r="A463" t="s">
        <v>51</v>
      </c>
      <c r="B463" t="s">
        <v>52</v>
      </c>
      <c r="C463" t="s">
        <v>10</v>
      </c>
      <c r="D463" s="1">
        <v>45717</v>
      </c>
      <c r="E463">
        <v>22000</v>
      </c>
    </row>
    <row r="464" spans="1:5" x14ac:dyDescent="0.35">
      <c r="A464" t="s">
        <v>91</v>
      </c>
      <c r="B464" t="s">
        <v>92</v>
      </c>
      <c r="C464" t="s">
        <v>10</v>
      </c>
      <c r="D464" s="1">
        <v>45931</v>
      </c>
      <c r="E464">
        <v>25000</v>
      </c>
    </row>
    <row r="465" spans="1:5" x14ac:dyDescent="0.35">
      <c r="A465" t="s">
        <v>14</v>
      </c>
      <c r="B465" t="s">
        <v>15</v>
      </c>
      <c r="C465" t="s">
        <v>28</v>
      </c>
      <c r="D465" s="1">
        <v>45778</v>
      </c>
      <c r="E465">
        <v>79000</v>
      </c>
    </row>
    <row r="466" spans="1:5" x14ac:dyDescent="0.35">
      <c r="A466" t="s">
        <v>111</v>
      </c>
      <c r="B466" t="s">
        <v>112</v>
      </c>
      <c r="C466" t="s">
        <v>16</v>
      </c>
      <c r="D466" s="1">
        <v>45962</v>
      </c>
      <c r="E466">
        <v>72000</v>
      </c>
    </row>
    <row r="467" spans="1:5" x14ac:dyDescent="0.35">
      <c r="A467" t="s">
        <v>29</v>
      </c>
      <c r="B467" t="s">
        <v>46</v>
      </c>
      <c r="C467" t="s">
        <v>7</v>
      </c>
      <c r="D467" s="1">
        <v>45748</v>
      </c>
      <c r="E467">
        <v>36000</v>
      </c>
    </row>
    <row r="468" spans="1:5" x14ac:dyDescent="0.35">
      <c r="A468" t="s">
        <v>24</v>
      </c>
      <c r="B468" t="s">
        <v>45</v>
      </c>
      <c r="C468" t="s">
        <v>21</v>
      </c>
      <c r="D468" s="1">
        <v>45778</v>
      </c>
      <c r="E468">
        <v>22000</v>
      </c>
    </row>
    <row r="469" spans="1:5" x14ac:dyDescent="0.35">
      <c r="A469" t="s">
        <v>70</v>
      </c>
      <c r="B469" t="s">
        <v>71</v>
      </c>
      <c r="C469" t="s">
        <v>16</v>
      </c>
      <c r="D469" s="1">
        <v>45748</v>
      </c>
      <c r="E469">
        <v>85000</v>
      </c>
    </row>
    <row r="470" spans="1:5" x14ac:dyDescent="0.35">
      <c r="A470" t="s">
        <v>43</v>
      </c>
      <c r="B470" t="s">
        <v>44</v>
      </c>
      <c r="C470" t="s">
        <v>10</v>
      </c>
      <c r="D470" s="1">
        <v>45778</v>
      </c>
      <c r="E470">
        <v>22000</v>
      </c>
    </row>
    <row r="471" spans="1:5" x14ac:dyDescent="0.35">
      <c r="A471" t="s">
        <v>35</v>
      </c>
      <c r="B471" t="s">
        <v>81</v>
      </c>
      <c r="C471" t="s">
        <v>10</v>
      </c>
      <c r="D471" s="1">
        <v>45962</v>
      </c>
      <c r="E471">
        <v>13000</v>
      </c>
    </row>
    <row r="472" spans="1:5" x14ac:dyDescent="0.35">
      <c r="A472" t="s">
        <v>72</v>
      </c>
      <c r="B472" t="s">
        <v>73</v>
      </c>
      <c r="C472" t="s">
        <v>10</v>
      </c>
      <c r="D472" s="1">
        <v>45658</v>
      </c>
      <c r="E472">
        <v>27000</v>
      </c>
    </row>
    <row r="473" spans="1:5" x14ac:dyDescent="0.35">
      <c r="A473" t="s">
        <v>31</v>
      </c>
      <c r="B473" t="s">
        <v>32</v>
      </c>
      <c r="C473" t="s">
        <v>28</v>
      </c>
      <c r="D473" s="1">
        <v>45717</v>
      </c>
      <c r="E473">
        <v>77000</v>
      </c>
    </row>
    <row r="474" spans="1:5" x14ac:dyDescent="0.35">
      <c r="A474" t="s">
        <v>87</v>
      </c>
      <c r="B474" t="s">
        <v>88</v>
      </c>
      <c r="C474" t="s">
        <v>16</v>
      </c>
      <c r="D474" s="1">
        <v>45809</v>
      </c>
      <c r="E474">
        <v>73000</v>
      </c>
    </row>
    <row r="475" spans="1:5" x14ac:dyDescent="0.35">
      <c r="A475" t="s">
        <v>8</v>
      </c>
      <c r="B475" t="s">
        <v>9</v>
      </c>
      <c r="C475" t="s">
        <v>13</v>
      </c>
      <c r="D475" s="1">
        <v>45778</v>
      </c>
      <c r="E475">
        <v>17000</v>
      </c>
    </row>
    <row r="476" spans="1:5" x14ac:dyDescent="0.35">
      <c r="A476" t="s">
        <v>8</v>
      </c>
      <c r="B476" t="s">
        <v>9</v>
      </c>
      <c r="C476" t="s">
        <v>21</v>
      </c>
      <c r="D476" s="1">
        <v>45809</v>
      </c>
      <c r="E476">
        <v>17000</v>
      </c>
    </row>
    <row r="477" spans="1:5" x14ac:dyDescent="0.35">
      <c r="A477" t="s">
        <v>62</v>
      </c>
      <c r="B477" t="s">
        <v>63</v>
      </c>
      <c r="C477" t="s">
        <v>28</v>
      </c>
      <c r="D477" s="1">
        <v>45992</v>
      </c>
      <c r="E477">
        <v>36000</v>
      </c>
    </row>
    <row r="478" spans="1:5" x14ac:dyDescent="0.35">
      <c r="A478" t="s">
        <v>11</v>
      </c>
      <c r="B478" t="s">
        <v>59</v>
      </c>
      <c r="C478" t="s">
        <v>10</v>
      </c>
      <c r="D478" s="1">
        <v>45931</v>
      </c>
      <c r="E478">
        <v>39000</v>
      </c>
    </row>
    <row r="479" spans="1:5" x14ac:dyDescent="0.35">
      <c r="A479" t="s">
        <v>33</v>
      </c>
      <c r="B479" t="s">
        <v>34</v>
      </c>
      <c r="C479" t="s">
        <v>16</v>
      </c>
      <c r="D479" s="1">
        <v>45748</v>
      </c>
      <c r="E479">
        <v>66000</v>
      </c>
    </row>
    <row r="480" spans="1:5" x14ac:dyDescent="0.35">
      <c r="A480" t="s">
        <v>37</v>
      </c>
      <c r="B480" t="s">
        <v>38</v>
      </c>
      <c r="C480" t="s">
        <v>7</v>
      </c>
      <c r="D480" s="1">
        <v>45839</v>
      </c>
      <c r="E480">
        <v>19000</v>
      </c>
    </row>
    <row r="481" spans="1:5" x14ac:dyDescent="0.35">
      <c r="A481" t="s">
        <v>5</v>
      </c>
      <c r="B481" t="s">
        <v>6</v>
      </c>
      <c r="C481" t="s">
        <v>16</v>
      </c>
      <c r="D481" s="1">
        <v>45901</v>
      </c>
      <c r="E481">
        <v>97000</v>
      </c>
    </row>
    <row r="482" spans="1:5" x14ac:dyDescent="0.35">
      <c r="A482" t="s">
        <v>29</v>
      </c>
      <c r="B482" t="s">
        <v>30</v>
      </c>
      <c r="C482" t="s">
        <v>28</v>
      </c>
      <c r="D482" s="1">
        <v>45748</v>
      </c>
      <c r="E482">
        <v>60000</v>
      </c>
    </row>
    <row r="483" spans="1:5" x14ac:dyDescent="0.35">
      <c r="A483" t="s">
        <v>5</v>
      </c>
      <c r="B483" t="s">
        <v>113</v>
      </c>
      <c r="C483" t="s">
        <v>65</v>
      </c>
      <c r="D483" s="1">
        <v>45870</v>
      </c>
      <c r="E483">
        <v>24000</v>
      </c>
    </row>
    <row r="484" spans="1:5" x14ac:dyDescent="0.35">
      <c r="A484" t="s">
        <v>48</v>
      </c>
      <c r="B484" t="s">
        <v>49</v>
      </c>
      <c r="C484" t="s">
        <v>10</v>
      </c>
      <c r="D484" s="1">
        <v>45839</v>
      </c>
      <c r="E484">
        <v>26000</v>
      </c>
    </row>
    <row r="485" spans="1:5" x14ac:dyDescent="0.35">
      <c r="A485" t="s">
        <v>24</v>
      </c>
      <c r="B485" t="s">
        <v>45</v>
      </c>
      <c r="C485" t="s">
        <v>50</v>
      </c>
      <c r="D485" s="1">
        <v>45931</v>
      </c>
      <c r="E485">
        <v>22000</v>
      </c>
    </row>
    <row r="486" spans="1:5" x14ac:dyDescent="0.35">
      <c r="A486" t="s">
        <v>5</v>
      </c>
      <c r="B486" t="s">
        <v>6</v>
      </c>
      <c r="C486" t="s">
        <v>50</v>
      </c>
      <c r="D486" s="1">
        <v>45870</v>
      </c>
      <c r="E486">
        <v>19000</v>
      </c>
    </row>
    <row r="487" spans="1:5" x14ac:dyDescent="0.35">
      <c r="A487" t="s">
        <v>11</v>
      </c>
      <c r="B487" t="s">
        <v>59</v>
      </c>
      <c r="C487" t="s">
        <v>65</v>
      </c>
      <c r="D487" s="1">
        <v>45627</v>
      </c>
      <c r="E487">
        <v>39000</v>
      </c>
    </row>
    <row r="488" spans="1:5" x14ac:dyDescent="0.35">
      <c r="A488" t="s">
        <v>41</v>
      </c>
      <c r="B488" t="s">
        <v>42</v>
      </c>
      <c r="C488" t="s">
        <v>13</v>
      </c>
      <c r="D488" s="1">
        <v>45717</v>
      </c>
      <c r="E488">
        <v>22000</v>
      </c>
    </row>
    <row r="489" spans="1:5" x14ac:dyDescent="0.35">
      <c r="A489" t="s">
        <v>60</v>
      </c>
      <c r="B489" t="s">
        <v>61</v>
      </c>
      <c r="C489" t="s">
        <v>28</v>
      </c>
      <c r="D489" s="1">
        <v>45962</v>
      </c>
      <c r="E489">
        <v>35000</v>
      </c>
    </row>
    <row r="490" spans="1:5" x14ac:dyDescent="0.35">
      <c r="A490" t="s">
        <v>29</v>
      </c>
      <c r="B490" t="s">
        <v>46</v>
      </c>
      <c r="C490" t="s">
        <v>7</v>
      </c>
      <c r="D490" s="1">
        <v>45809</v>
      </c>
      <c r="E490">
        <v>36000</v>
      </c>
    </row>
    <row r="491" spans="1:5" x14ac:dyDescent="0.35">
      <c r="A491" t="s">
        <v>19</v>
      </c>
      <c r="B491" t="s">
        <v>20</v>
      </c>
      <c r="C491" t="s">
        <v>13</v>
      </c>
      <c r="D491" s="1">
        <v>45778</v>
      </c>
      <c r="E491">
        <v>10000</v>
      </c>
    </row>
    <row r="492" spans="1:5" x14ac:dyDescent="0.35">
      <c r="A492" t="s">
        <v>17</v>
      </c>
      <c r="B492" t="s">
        <v>18</v>
      </c>
      <c r="C492" t="s">
        <v>16</v>
      </c>
      <c r="D492" s="1">
        <v>45839</v>
      </c>
      <c r="E492">
        <v>90000</v>
      </c>
    </row>
    <row r="493" spans="1:5" x14ac:dyDescent="0.35">
      <c r="A493" t="s">
        <v>26</v>
      </c>
      <c r="B493" t="s">
        <v>27</v>
      </c>
      <c r="C493" t="s">
        <v>16</v>
      </c>
      <c r="D493" s="1">
        <v>45658</v>
      </c>
      <c r="E493">
        <v>47000</v>
      </c>
    </row>
    <row r="494" spans="1:5" x14ac:dyDescent="0.35">
      <c r="A494" t="s">
        <v>57</v>
      </c>
      <c r="B494" t="s">
        <v>58</v>
      </c>
      <c r="C494" t="s">
        <v>10</v>
      </c>
      <c r="D494" s="1">
        <v>45839</v>
      </c>
      <c r="E494">
        <v>18000</v>
      </c>
    </row>
    <row r="495" spans="1:5" x14ac:dyDescent="0.35">
      <c r="A495" t="s">
        <v>33</v>
      </c>
      <c r="B495" t="s">
        <v>34</v>
      </c>
      <c r="C495" t="s">
        <v>28</v>
      </c>
      <c r="D495" s="1">
        <v>45962</v>
      </c>
      <c r="E495">
        <v>66000</v>
      </c>
    </row>
    <row r="496" spans="1:5" x14ac:dyDescent="0.35">
      <c r="A496" t="s">
        <v>66</v>
      </c>
      <c r="B496" t="s">
        <v>67</v>
      </c>
      <c r="C496" t="s">
        <v>13</v>
      </c>
      <c r="D496" s="1">
        <v>45870</v>
      </c>
      <c r="E496">
        <v>19000</v>
      </c>
    </row>
    <row r="497" spans="1:5" x14ac:dyDescent="0.35">
      <c r="A497" t="s">
        <v>53</v>
      </c>
      <c r="B497" t="s">
        <v>103</v>
      </c>
      <c r="C497" t="s">
        <v>16</v>
      </c>
      <c r="D497" s="1">
        <v>45748</v>
      </c>
      <c r="E497">
        <v>63000</v>
      </c>
    </row>
    <row r="498" spans="1:5" x14ac:dyDescent="0.35">
      <c r="A498" t="s">
        <v>48</v>
      </c>
      <c r="B498" t="s">
        <v>49</v>
      </c>
      <c r="C498" t="s">
        <v>28</v>
      </c>
      <c r="D498" s="1">
        <v>45809</v>
      </c>
      <c r="E498">
        <v>112000</v>
      </c>
    </row>
    <row r="499" spans="1:5" x14ac:dyDescent="0.35">
      <c r="A499" t="s">
        <v>72</v>
      </c>
      <c r="B499" t="s">
        <v>73</v>
      </c>
      <c r="C499" t="s">
        <v>21</v>
      </c>
      <c r="D499" s="1">
        <v>45962</v>
      </c>
      <c r="E499">
        <v>16000</v>
      </c>
    </row>
    <row r="500" spans="1:5" x14ac:dyDescent="0.35">
      <c r="A500" t="s">
        <v>22</v>
      </c>
      <c r="B500" t="s">
        <v>23</v>
      </c>
      <c r="C500" t="s">
        <v>7</v>
      </c>
      <c r="D500" s="1">
        <v>45992</v>
      </c>
      <c r="E500">
        <v>15000</v>
      </c>
    </row>
    <row r="501" spans="1:5" x14ac:dyDescent="0.35">
      <c r="A501" t="s">
        <v>41</v>
      </c>
      <c r="B501" t="s">
        <v>42</v>
      </c>
      <c r="C501" t="s">
        <v>7</v>
      </c>
      <c r="D501" s="1">
        <v>45658</v>
      </c>
      <c r="E501">
        <v>17000</v>
      </c>
    </row>
    <row r="502" spans="1:5" x14ac:dyDescent="0.35">
      <c r="A502" t="s">
        <v>11</v>
      </c>
      <c r="B502" t="s">
        <v>59</v>
      </c>
      <c r="C502" t="s">
        <v>21</v>
      </c>
      <c r="D502" s="1">
        <v>45689</v>
      </c>
      <c r="E502">
        <v>24000</v>
      </c>
    </row>
    <row r="503" spans="1:5" x14ac:dyDescent="0.35">
      <c r="A503" t="s">
        <v>60</v>
      </c>
      <c r="B503" t="s">
        <v>61</v>
      </c>
      <c r="C503" t="s">
        <v>28</v>
      </c>
      <c r="D503" s="1">
        <v>45689</v>
      </c>
      <c r="E503">
        <v>35000</v>
      </c>
    </row>
    <row r="504" spans="1:5" x14ac:dyDescent="0.35">
      <c r="A504" t="s">
        <v>5</v>
      </c>
      <c r="B504" t="s">
        <v>6</v>
      </c>
      <c r="C504" t="s">
        <v>10</v>
      </c>
      <c r="D504" s="1">
        <v>45717</v>
      </c>
      <c r="E504">
        <v>24000</v>
      </c>
    </row>
    <row r="505" spans="1:5" x14ac:dyDescent="0.35">
      <c r="A505" t="s">
        <v>43</v>
      </c>
      <c r="B505" t="s">
        <v>44</v>
      </c>
      <c r="C505" t="s">
        <v>50</v>
      </c>
      <c r="D505" s="1">
        <v>45931</v>
      </c>
      <c r="E505">
        <v>27000</v>
      </c>
    </row>
    <row r="506" spans="1:5" x14ac:dyDescent="0.35">
      <c r="A506" t="s">
        <v>78</v>
      </c>
      <c r="B506" t="s">
        <v>79</v>
      </c>
      <c r="C506" t="s">
        <v>28</v>
      </c>
      <c r="D506" s="1">
        <v>45992</v>
      </c>
      <c r="E506">
        <v>49000</v>
      </c>
    </row>
    <row r="507" spans="1:5" x14ac:dyDescent="0.35">
      <c r="A507" t="s">
        <v>31</v>
      </c>
      <c r="B507" t="s">
        <v>32</v>
      </c>
      <c r="C507" t="s">
        <v>16</v>
      </c>
      <c r="D507" s="1">
        <v>45627</v>
      </c>
      <c r="E507">
        <v>77000</v>
      </c>
    </row>
    <row r="508" spans="1:5" x14ac:dyDescent="0.35">
      <c r="A508" t="s">
        <v>33</v>
      </c>
      <c r="B508" t="s">
        <v>34</v>
      </c>
      <c r="C508" t="s">
        <v>28</v>
      </c>
      <c r="D508" s="1">
        <v>45870</v>
      </c>
      <c r="E508">
        <v>66000</v>
      </c>
    </row>
    <row r="509" spans="1:5" x14ac:dyDescent="0.35">
      <c r="A509" t="s">
        <v>14</v>
      </c>
      <c r="B509" t="s">
        <v>15</v>
      </c>
      <c r="C509" t="s">
        <v>28</v>
      </c>
      <c r="D509" s="1">
        <v>45901</v>
      </c>
      <c r="E509">
        <v>79000</v>
      </c>
    </row>
    <row r="510" spans="1:5" x14ac:dyDescent="0.35">
      <c r="A510" t="s">
        <v>11</v>
      </c>
      <c r="B510" t="s">
        <v>59</v>
      </c>
      <c r="C510" t="s">
        <v>28</v>
      </c>
      <c r="D510" s="1">
        <v>45689</v>
      </c>
      <c r="E510">
        <v>118000</v>
      </c>
    </row>
    <row r="511" spans="1:5" x14ac:dyDescent="0.35">
      <c r="A511" t="s">
        <v>5</v>
      </c>
      <c r="B511" t="s">
        <v>6</v>
      </c>
      <c r="C511" t="s">
        <v>21</v>
      </c>
      <c r="D511" s="1">
        <v>45689</v>
      </c>
      <c r="E511">
        <v>19000</v>
      </c>
    </row>
    <row r="512" spans="1:5" x14ac:dyDescent="0.35">
      <c r="A512" t="s">
        <v>53</v>
      </c>
      <c r="B512" t="s">
        <v>54</v>
      </c>
      <c r="C512" t="s">
        <v>16</v>
      </c>
      <c r="D512" s="1">
        <v>45809</v>
      </c>
      <c r="E512">
        <v>63000</v>
      </c>
    </row>
    <row r="513" spans="1:5" x14ac:dyDescent="0.35">
      <c r="A513" t="s">
        <v>70</v>
      </c>
      <c r="B513" t="s">
        <v>106</v>
      </c>
      <c r="C513" t="s">
        <v>28</v>
      </c>
      <c r="D513" s="1">
        <v>45870</v>
      </c>
      <c r="E513">
        <v>85000</v>
      </c>
    </row>
    <row r="514" spans="1:5" x14ac:dyDescent="0.35">
      <c r="A514" t="s">
        <v>57</v>
      </c>
      <c r="B514" t="s">
        <v>58</v>
      </c>
      <c r="C514" t="s">
        <v>10</v>
      </c>
      <c r="D514" s="1">
        <v>45870</v>
      </c>
      <c r="E514">
        <v>18000</v>
      </c>
    </row>
    <row r="515" spans="1:5" x14ac:dyDescent="0.35">
      <c r="A515" t="s">
        <v>48</v>
      </c>
      <c r="B515" t="s">
        <v>49</v>
      </c>
      <c r="C515" t="s">
        <v>7</v>
      </c>
      <c r="D515" s="1">
        <v>45689</v>
      </c>
      <c r="E515">
        <v>26000</v>
      </c>
    </row>
    <row r="516" spans="1:5" x14ac:dyDescent="0.35">
      <c r="A516" t="s">
        <v>43</v>
      </c>
      <c r="B516" t="s">
        <v>44</v>
      </c>
      <c r="C516" t="s">
        <v>50</v>
      </c>
      <c r="D516" s="1">
        <v>45778</v>
      </c>
      <c r="E516">
        <v>27000</v>
      </c>
    </row>
    <row r="517" spans="1:5" x14ac:dyDescent="0.35">
      <c r="A517" t="s">
        <v>17</v>
      </c>
      <c r="B517" t="s">
        <v>18</v>
      </c>
      <c r="C517" t="s">
        <v>10</v>
      </c>
      <c r="D517" s="1">
        <v>45931</v>
      </c>
      <c r="E517">
        <v>45000</v>
      </c>
    </row>
    <row r="518" spans="1:5" x14ac:dyDescent="0.35">
      <c r="A518" t="s">
        <v>60</v>
      </c>
      <c r="B518" t="s">
        <v>76</v>
      </c>
      <c r="C518" t="s">
        <v>10</v>
      </c>
      <c r="D518" s="1">
        <v>45778</v>
      </c>
      <c r="E518">
        <v>23000</v>
      </c>
    </row>
    <row r="519" spans="1:5" x14ac:dyDescent="0.35">
      <c r="A519" t="s">
        <v>24</v>
      </c>
      <c r="B519" t="s">
        <v>45</v>
      </c>
      <c r="C519" t="s">
        <v>28</v>
      </c>
      <c r="D519" s="1">
        <v>45992</v>
      </c>
      <c r="E519">
        <v>100000</v>
      </c>
    </row>
    <row r="520" spans="1:5" x14ac:dyDescent="0.35">
      <c r="A520" t="s">
        <v>39</v>
      </c>
      <c r="B520" t="s">
        <v>40</v>
      </c>
      <c r="C520" t="s">
        <v>16</v>
      </c>
      <c r="D520" s="1">
        <v>45717</v>
      </c>
      <c r="E520">
        <v>60000</v>
      </c>
    </row>
    <row r="521" spans="1:5" x14ac:dyDescent="0.35">
      <c r="A521" t="s">
        <v>43</v>
      </c>
      <c r="B521" t="s">
        <v>44</v>
      </c>
      <c r="C521" t="s">
        <v>21</v>
      </c>
      <c r="D521" s="1">
        <v>45901</v>
      </c>
      <c r="E521">
        <v>27000</v>
      </c>
    </row>
    <row r="522" spans="1:5" x14ac:dyDescent="0.35">
      <c r="A522" t="s">
        <v>24</v>
      </c>
      <c r="B522" t="s">
        <v>45</v>
      </c>
      <c r="C522" t="s">
        <v>21</v>
      </c>
      <c r="D522" s="1">
        <v>45962</v>
      </c>
      <c r="E522">
        <v>22000</v>
      </c>
    </row>
    <row r="523" spans="1:5" x14ac:dyDescent="0.35">
      <c r="A523" t="s">
        <v>11</v>
      </c>
      <c r="B523" t="s">
        <v>59</v>
      </c>
      <c r="C523" t="s">
        <v>13</v>
      </c>
      <c r="D523" s="1">
        <v>45962</v>
      </c>
      <c r="E523" t="s">
        <v>114</v>
      </c>
    </row>
    <row r="524" spans="1:5" x14ac:dyDescent="0.35">
      <c r="A524" t="s">
        <v>43</v>
      </c>
      <c r="B524" t="s">
        <v>44</v>
      </c>
      <c r="C524" t="s">
        <v>10</v>
      </c>
      <c r="D524" s="1">
        <v>45627</v>
      </c>
      <c r="E524">
        <v>18000</v>
      </c>
    </row>
    <row r="525" spans="1:5" x14ac:dyDescent="0.35">
      <c r="A525" t="s">
        <v>22</v>
      </c>
      <c r="B525" t="s">
        <v>23</v>
      </c>
      <c r="C525" t="s">
        <v>16</v>
      </c>
      <c r="D525" s="1">
        <v>45931</v>
      </c>
      <c r="E525">
        <v>132000</v>
      </c>
    </row>
    <row r="526" spans="1:5" x14ac:dyDescent="0.35">
      <c r="A526" t="s">
        <v>72</v>
      </c>
      <c r="B526" t="s">
        <v>73</v>
      </c>
      <c r="C526" t="s">
        <v>65</v>
      </c>
      <c r="D526" s="1">
        <v>45717</v>
      </c>
      <c r="E526">
        <v>27000</v>
      </c>
    </row>
    <row r="527" spans="1:5" x14ac:dyDescent="0.35">
      <c r="A527" t="s">
        <v>70</v>
      </c>
      <c r="B527" t="s">
        <v>71</v>
      </c>
      <c r="C527" t="s">
        <v>65</v>
      </c>
      <c r="D527" s="1">
        <v>45931</v>
      </c>
      <c r="E527">
        <v>27000</v>
      </c>
    </row>
    <row r="528" spans="1:5" x14ac:dyDescent="0.35">
      <c r="A528" t="s">
        <v>70</v>
      </c>
      <c r="B528" t="s">
        <v>71</v>
      </c>
      <c r="C528" t="s">
        <v>21</v>
      </c>
      <c r="D528" s="1">
        <v>45809</v>
      </c>
      <c r="E528">
        <v>9000</v>
      </c>
    </row>
    <row r="529" spans="1:5" x14ac:dyDescent="0.35">
      <c r="A529" t="s">
        <v>53</v>
      </c>
      <c r="B529" t="s">
        <v>54</v>
      </c>
      <c r="C529" t="s">
        <v>28</v>
      </c>
      <c r="D529" s="1">
        <v>45870</v>
      </c>
      <c r="E529">
        <v>73000</v>
      </c>
    </row>
    <row r="530" spans="1:5" x14ac:dyDescent="0.35">
      <c r="A530" t="s">
        <v>72</v>
      </c>
      <c r="B530" t="s">
        <v>73</v>
      </c>
      <c r="C530" t="s">
        <v>16</v>
      </c>
      <c r="D530" s="1">
        <v>45992</v>
      </c>
      <c r="E530">
        <v>117000</v>
      </c>
    </row>
    <row r="531" spans="1:5" x14ac:dyDescent="0.35">
      <c r="A531" t="s">
        <v>53</v>
      </c>
      <c r="B531" t="s">
        <v>54</v>
      </c>
      <c r="C531" t="s">
        <v>10</v>
      </c>
      <c r="D531" s="1">
        <v>45809</v>
      </c>
      <c r="E531">
        <v>35000</v>
      </c>
    </row>
    <row r="532" spans="1:5" x14ac:dyDescent="0.35">
      <c r="A532" t="s">
        <v>41</v>
      </c>
      <c r="B532" t="s">
        <v>42</v>
      </c>
      <c r="C532" t="s">
        <v>21</v>
      </c>
      <c r="D532" s="1">
        <v>45931</v>
      </c>
      <c r="E532">
        <v>22000</v>
      </c>
    </row>
    <row r="533" spans="1:5" x14ac:dyDescent="0.35">
      <c r="A533" t="s">
        <v>48</v>
      </c>
      <c r="B533" t="s">
        <v>49</v>
      </c>
      <c r="C533" t="s">
        <v>21</v>
      </c>
      <c r="D533" s="1">
        <v>45962</v>
      </c>
      <c r="E533">
        <v>11000</v>
      </c>
    </row>
    <row r="534" spans="1:5" x14ac:dyDescent="0.35">
      <c r="A534" t="s">
        <v>17</v>
      </c>
      <c r="B534" t="s">
        <v>18</v>
      </c>
      <c r="C534" t="s">
        <v>65</v>
      </c>
      <c r="D534" s="1">
        <v>45748</v>
      </c>
      <c r="E534">
        <v>29000</v>
      </c>
    </row>
    <row r="535" spans="1:5" x14ac:dyDescent="0.35">
      <c r="A535" t="s">
        <v>11</v>
      </c>
      <c r="B535" t="s">
        <v>59</v>
      </c>
      <c r="C535" t="s">
        <v>21</v>
      </c>
      <c r="D535" s="1">
        <v>45748</v>
      </c>
      <c r="E535">
        <v>27000</v>
      </c>
    </row>
    <row r="536" spans="1:5" x14ac:dyDescent="0.35">
      <c r="A536" t="s">
        <v>17</v>
      </c>
      <c r="B536" t="s">
        <v>18</v>
      </c>
      <c r="C536" t="s">
        <v>28</v>
      </c>
      <c r="D536" s="1">
        <v>45870</v>
      </c>
      <c r="E536">
        <v>90000</v>
      </c>
    </row>
    <row r="537" spans="1:5" x14ac:dyDescent="0.35">
      <c r="A537" t="s">
        <v>66</v>
      </c>
      <c r="B537" t="s">
        <v>67</v>
      </c>
      <c r="C537" t="s">
        <v>21</v>
      </c>
      <c r="D537" s="1">
        <v>45901</v>
      </c>
      <c r="E537">
        <v>19000</v>
      </c>
    </row>
    <row r="538" spans="1:5" x14ac:dyDescent="0.35">
      <c r="A538" t="s">
        <v>8</v>
      </c>
      <c r="B538" t="s">
        <v>115</v>
      </c>
      <c r="C538" t="s">
        <v>16</v>
      </c>
      <c r="D538" s="1">
        <v>45839</v>
      </c>
      <c r="E538">
        <v>70000</v>
      </c>
    </row>
    <row r="539" spans="1:5" x14ac:dyDescent="0.35">
      <c r="A539" t="s">
        <v>11</v>
      </c>
      <c r="B539" t="s">
        <v>59</v>
      </c>
      <c r="C539" t="s">
        <v>10</v>
      </c>
      <c r="D539" s="1">
        <v>45870</v>
      </c>
      <c r="E539">
        <v>39000</v>
      </c>
    </row>
    <row r="540" spans="1:5" x14ac:dyDescent="0.35">
      <c r="A540" t="s">
        <v>53</v>
      </c>
      <c r="B540" t="s">
        <v>54</v>
      </c>
      <c r="C540" t="s">
        <v>28</v>
      </c>
      <c r="D540" s="1">
        <v>45839</v>
      </c>
      <c r="E540">
        <v>73000</v>
      </c>
    </row>
    <row r="541" spans="1:5" x14ac:dyDescent="0.35">
      <c r="A541" t="s">
        <v>5</v>
      </c>
      <c r="B541" t="s">
        <v>6</v>
      </c>
      <c r="C541" t="s">
        <v>21</v>
      </c>
      <c r="D541" s="1">
        <v>45962</v>
      </c>
      <c r="E541" s="2" t="s">
        <v>116</v>
      </c>
    </row>
    <row r="542" spans="1:5" x14ac:dyDescent="0.35">
      <c r="A542" t="s">
        <v>53</v>
      </c>
      <c r="B542" t="s">
        <v>54</v>
      </c>
      <c r="C542" t="s">
        <v>28</v>
      </c>
      <c r="D542" s="1">
        <v>45931</v>
      </c>
      <c r="E542">
        <v>73000</v>
      </c>
    </row>
    <row r="543" spans="1:5" x14ac:dyDescent="0.35">
      <c r="A543" t="s">
        <v>26</v>
      </c>
      <c r="B543" t="s">
        <v>27</v>
      </c>
      <c r="C543" t="s">
        <v>28</v>
      </c>
      <c r="D543" s="1">
        <v>45689</v>
      </c>
      <c r="E543">
        <v>58000</v>
      </c>
    </row>
    <row r="544" spans="1:5" x14ac:dyDescent="0.35">
      <c r="A544" t="s">
        <v>72</v>
      </c>
      <c r="B544" t="s">
        <v>73</v>
      </c>
      <c r="C544" t="s">
        <v>10</v>
      </c>
      <c r="D544" s="1">
        <v>45962</v>
      </c>
      <c r="E544">
        <v>33000</v>
      </c>
    </row>
    <row r="545" spans="1:5" x14ac:dyDescent="0.35">
      <c r="A545" t="s">
        <v>66</v>
      </c>
      <c r="B545" t="s">
        <v>67</v>
      </c>
      <c r="C545" t="s">
        <v>28</v>
      </c>
      <c r="D545" s="1">
        <v>45992</v>
      </c>
      <c r="E545">
        <v>95000</v>
      </c>
    </row>
    <row r="546" spans="1:5" x14ac:dyDescent="0.35">
      <c r="A546" t="s">
        <v>19</v>
      </c>
      <c r="B546" t="s">
        <v>20</v>
      </c>
      <c r="C546" t="s">
        <v>10</v>
      </c>
      <c r="D546" s="1">
        <v>45962</v>
      </c>
      <c r="E546">
        <v>30000</v>
      </c>
    </row>
    <row r="547" spans="1:5" x14ac:dyDescent="0.35">
      <c r="A547" t="s">
        <v>11</v>
      </c>
      <c r="B547" t="s">
        <v>59</v>
      </c>
      <c r="C547" t="s">
        <v>16</v>
      </c>
      <c r="D547" s="1">
        <v>45992</v>
      </c>
      <c r="E547">
        <v>118000</v>
      </c>
    </row>
    <row r="548" spans="1:5" x14ac:dyDescent="0.35">
      <c r="A548" t="s">
        <v>19</v>
      </c>
      <c r="B548" t="s">
        <v>20</v>
      </c>
      <c r="C548" t="s">
        <v>10</v>
      </c>
      <c r="D548" s="1">
        <v>45870</v>
      </c>
      <c r="E548">
        <v>30000</v>
      </c>
    </row>
    <row r="549" spans="1:5" x14ac:dyDescent="0.35">
      <c r="A549" t="s">
        <v>60</v>
      </c>
      <c r="B549" t="s">
        <v>61</v>
      </c>
      <c r="C549" t="s">
        <v>10</v>
      </c>
      <c r="D549" s="1">
        <v>45931</v>
      </c>
      <c r="E549">
        <v>23000</v>
      </c>
    </row>
    <row r="550" spans="1:5" x14ac:dyDescent="0.35">
      <c r="A550" t="s">
        <v>24</v>
      </c>
      <c r="B550" t="s">
        <v>45</v>
      </c>
      <c r="C550" t="s">
        <v>16</v>
      </c>
      <c r="D550" s="1">
        <v>45658</v>
      </c>
      <c r="E550">
        <v>100000</v>
      </c>
    </row>
    <row r="551" spans="1:5" x14ac:dyDescent="0.35">
      <c r="A551" t="s">
        <v>74</v>
      </c>
      <c r="B551" t="s">
        <v>75</v>
      </c>
      <c r="C551" t="s">
        <v>28</v>
      </c>
      <c r="D551" s="1">
        <v>45931</v>
      </c>
      <c r="E551">
        <v>155000</v>
      </c>
    </row>
    <row r="552" spans="1:5" x14ac:dyDescent="0.35">
      <c r="A552" t="s">
        <v>72</v>
      </c>
      <c r="B552" t="s">
        <v>73</v>
      </c>
      <c r="C552" t="s">
        <v>10</v>
      </c>
      <c r="D552" s="1">
        <v>45689</v>
      </c>
      <c r="E552">
        <v>27000</v>
      </c>
    </row>
    <row r="553" spans="1:5" x14ac:dyDescent="0.35">
      <c r="A553" t="s">
        <v>60</v>
      </c>
      <c r="B553" t="s">
        <v>61</v>
      </c>
      <c r="C553" t="s">
        <v>10</v>
      </c>
      <c r="D553" s="1">
        <v>45689</v>
      </c>
      <c r="E553">
        <v>23000</v>
      </c>
    </row>
    <row r="554" spans="1:5" x14ac:dyDescent="0.35">
      <c r="A554" t="s">
        <v>19</v>
      </c>
      <c r="B554" t="s">
        <v>20</v>
      </c>
      <c r="C554" t="s">
        <v>10</v>
      </c>
      <c r="D554" s="1">
        <v>45839</v>
      </c>
      <c r="E554">
        <v>30000</v>
      </c>
    </row>
    <row r="555" spans="1:5" x14ac:dyDescent="0.35">
      <c r="A555" t="s">
        <v>57</v>
      </c>
      <c r="B555" t="s">
        <v>58</v>
      </c>
      <c r="C555" t="s">
        <v>10</v>
      </c>
      <c r="D555" s="1">
        <v>45931</v>
      </c>
      <c r="E555">
        <v>18000</v>
      </c>
    </row>
    <row r="556" spans="1:5" x14ac:dyDescent="0.35">
      <c r="A556" t="s">
        <v>8</v>
      </c>
      <c r="B556" t="s">
        <v>9</v>
      </c>
      <c r="C556" t="s">
        <v>28</v>
      </c>
      <c r="D556" s="1">
        <v>45962</v>
      </c>
      <c r="E556">
        <v>70000</v>
      </c>
    </row>
    <row r="557" spans="1:5" x14ac:dyDescent="0.35">
      <c r="A557" t="s">
        <v>39</v>
      </c>
      <c r="B557" t="s">
        <v>40</v>
      </c>
      <c r="C557" t="s">
        <v>21</v>
      </c>
      <c r="D557" s="1">
        <v>45992</v>
      </c>
      <c r="E557">
        <v>19000</v>
      </c>
    </row>
    <row r="558" spans="1:5" x14ac:dyDescent="0.35">
      <c r="A558" t="s">
        <v>37</v>
      </c>
      <c r="B558" t="s">
        <v>38</v>
      </c>
      <c r="C558" t="s">
        <v>65</v>
      </c>
      <c r="D558" s="1">
        <v>45931</v>
      </c>
      <c r="E558">
        <v>19000</v>
      </c>
    </row>
    <row r="559" spans="1:5" x14ac:dyDescent="0.35">
      <c r="A559" t="s">
        <v>29</v>
      </c>
      <c r="B559" t="s">
        <v>46</v>
      </c>
      <c r="C559" t="s">
        <v>10</v>
      </c>
      <c r="D559" s="1">
        <v>45901</v>
      </c>
      <c r="E559">
        <v>36000</v>
      </c>
    </row>
    <row r="560" spans="1:5" x14ac:dyDescent="0.35">
      <c r="A560" t="s">
        <v>55</v>
      </c>
      <c r="B560" t="s">
        <v>56</v>
      </c>
      <c r="C560" t="s">
        <v>16</v>
      </c>
      <c r="D560" s="1">
        <v>45992</v>
      </c>
      <c r="E560">
        <v>87000</v>
      </c>
    </row>
    <row r="561" spans="1:5" x14ac:dyDescent="0.35">
      <c r="A561" t="s">
        <v>72</v>
      </c>
      <c r="B561" t="s">
        <v>73</v>
      </c>
      <c r="C561" t="s">
        <v>10</v>
      </c>
      <c r="D561" s="1">
        <v>45992</v>
      </c>
      <c r="E561">
        <v>33000</v>
      </c>
    </row>
    <row r="562" spans="1:5" x14ac:dyDescent="0.35">
      <c r="A562" t="s">
        <v>24</v>
      </c>
      <c r="B562" t="s">
        <v>45</v>
      </c>
      <c r="C562" t="s">
        <v>16</v>
      </c>
      <c r="D562" s="1">
        <v>45839</v>
      </c>
      <c r="E562">
        <v>100000</v>
      </c>
    </row>
    <row r="563" spans="1:5" x14ac:dyDescent="0.35">
      <c r="A563" t="s">
        <v>39</v>
      </c>
      <c r="B563" t="s">
        <v>40</v>
      </c>
      <c r="C563" t="s">
        <v>16</v>
      </c>
      <c r="D563" s="1">
        <v>45658</v>
      </c>
      <c r="E563">
        <v>60000</v>
      </c>
    </row>
    <row r="564" spans="1:5" x14ac:dyDescent="0.35">
      <c r="A564" t="s">
        <v>43</v>
      </c>
      <c r="B564" t="s">
        <v>44</v>
      </c>
      <c r="C564" t="s">
        <v>10</v>
      </c>
      <c r="D564" s="1">
        <v>45931</v>
      </c>
      <c r="E564">
        <v>22000</v>
      </c>
    </row>
    <row r="565" spans="1:5" x14ac:dyDescent="0.35">
      <c r="A565" t="s">
        <v>53</v>
      </c>
      <c r="B565" t="s">
        <v>54</v>
      </c>
      <c r="C565" t="s">
        <v>10</v>
      </c>
      <c r="D565" s="1">
        <v>45717</v>
      </c>
      <c r="E565">
        <v>35000</v>
      </c>
    </row>
    <row r="566" spans="1:5" x14ac:dyDescent="0.35">
      <c r="A566" t="s">
        <v>5</v>
      </c>
      <c r="B566" t="s">
        <v>6</v>
      </c>
      <c r="C566" t="s">
        <v>16</v>
      </c>
      <c r="D566" s="1">
        <v>45627</v>
      </c>
      <c r="E566">
        <v>85000</v>
      </c>
    </row>
    <row r="567" spans="1:5" x14ac:dyDescent="0.35">
      <c r="A567" t="s">
        <v>19</v>
      </c>
      <c r="B567" t="s">
        <v>20</v>
      </c>
      <c r="C567" t="s">
        <v>10</v>
      </c>
      <c r="D567" s="1">
        <v>45717</v>
      </c>
      <c r="E567">
        <v>30000</v>
      </c>
    </row>
    <row r="568" spans="1:5" x14ac:dyDescent="0.35">
      <c r="A568" t="s">
        <v>57</v>
      </c>
      <c r="B568" t="s">
        <v>58</v>
      </c>
      <c r="C568" t="s">
        <v>21</v>
      </c>
      <c r="D568" s="1">
        <v>45901</v>
      </c>
      <c r="E568">
        <v>20000</v>
      </c>
    </row>
    <row r="569" spans="1:5" x14ac:dyDescent="0.35">
      <c r="A569" t="s">
        <v>24</v>
      </c>
      <c r="B569" t="s">
        <v>25</v>
      </c>
      <c r="C569" t="s">
        <v>28</v>
      </c>
      <c r="D569" s="1">
        <v>45870</v>
      </c>
      <c r="E569">
        <v>100000</v>
      </c>
    </row>
    <row r="570" spans="1:5" x14ac:dyDescent="0.35">
      <c r="A570" t="s">
        <v>5</v>
      </c>
      <c r="B570" t="s">
        <v>6</v>
      </c>
      <c r="C570" t="s">
        <v>28</v>
      </c>
      <c r="D570" s="1">
        <v>45748</v>
      </c>
      <c r="E570">
        <v>85000</v>
      </c>
    </row>
    <row r="571" spans="1:5" x14ac:dyDescent="0.35">
      <c r="A571" t="s">
        <v>33</v>
      </c>
      <c r="B571" t="s">
        <v>34</v>
      </c>
      <c r="C571" t="s">
        <v>10</v>
      </c>
      <c r="D571" s="1">
        <v>45870</v>
      </c>
      <c r="E571">
        <v>17000</v>
      </c>
    </row>
    <row r="572" spans="1:5" x14ac:dyDescent="0.35">
      <c r="A572" t="s">
        <v>66</v>
      </c>
      <c r="B572" t="s">
        <v>67</v>
      </c>
      <c r="C572" t="s">
        <v>65</v>
      </c>
      <c r="D572" s="1">
        <v>45901</v>
      </c>
      <c r="E572">
        <v>19000</v>
      </c>
    </row>
    <row r="573" spans="1:5" x14ac:dyDescent="0.35">
      <c r="A573" t="s">
        <v>8</v>
      </c>
      <c r="B573" t="s">
        <v>9</v>
      </c>
      <c r="C573" t="s">
        <v>13</v>
      </c>
      <c r="D573" s="1">
        <v>45962</v>
      </c>
      <c r="E573">
        <v>17000</v>
      </c>
    </row>
    <row r="574" spans="1:5" x14ac:dyDescent="0.35">
      <c r="A574" t="s">
        <v>60</v>
      </c>
      <c r="B574" t="s">
        <v>61</v>
      </c>
      <c r="C574" t="s">
        <v>50</v>
      </c>
      <c r="D574" s="1">
        <v>45992</v>
      </c>
      <c r="E574">
        <v>18000</v>
      </c>
    </row>
    <row r="575" spans="1:5" x14ac:dyDescent="0.35">
      <c r="A575" t="s">
        <v>17</v>
      </c>
      <c r="B575" t="s">
        <v>18</v>
      </c>
      <c r="C575" t="s">
        <v>10</v>
      </c>
      <c r="D575" s="1">
        <v>45778</v>
      </c>
      <c r="E575">
        <v>29000</v>
      </c>
    </row>
    <row r="576" spans="1:5" x14ac:dyDescent="0.35">
      <c r="A576" t="s">
        <v>41</v>
      </c>
      <c r="B576" t="s">
        <v>42</v>
      </c>
      <c r="C576" t="s">
        <v>21</v>
      </c>
      <c r="D576" s="1">
        <v>45748</v>
      </c>
      <c r="E576">
        <v>22000</v>
      </c>
    </row>
    <row r="577" spans="1:5" x14ac:dyDescent="0.35">
      <c r="A577" t="s">
        <v>19</v>
      </c>
      <c r="B577" t="s">
        <v>20</v>
      </c>
      <c r="C577" t="s">
        <v>16</v>
      </c>
      <c r="D577" s="1">
        <v>45717</v>
      </c>
      <c r="E577">
        <v>79000</v>
      </c>
    </row>
    <row r="578" spans="1:5" x14ac:dyDescent="0.35">
      <c r="A578" t="s">
        <v>66</v>
      </c>
      <c r="B578" t="s">
        <v>67</v>
      </c>
      <c r="C578" t="s">
        <v>28</v>
      </c>
      <c r="D578" s="1">
        <v>45901</v>
      </c>
      <c r="E578">
        <v>95000</v>
      </c>
    </row>
    <row r="579" spans="1:5" x14ac:dyDescent="0.35">
      <c r="A579" t="s">
        <v>111</v>
      </c>
      <c r="B579" t="s">
        <v>112</v>
      </c>
      <c r="C579" t="s">
        <v>28</v>
      </c>
      <c r="D579" s="1">
        <v>45992</v>
      </c>
      <c r="E579">
        <v>72000</v>
      </c>
    </row>
    <row r="580" spans="1:5" x14ac:dyDescent="0.35">
      <c r="A580" t="s">
        <v>60</v>
      </c>
      <c r="B580" t="s">
        <v>61</v>
      </c>
      <c r="C580" t="s">
        <v>28</v>
      </c>
      <c r="D580" s="1">
        <v>45809</v>
      </c>
      <c r="E580">
        <v>35000</v>
      </c>
    </row>
    <row r="581" spans="1:5" x14ac:dyDescent="0.35">
      <c r="A581" t="s">
        <v>24</v>
      </c>
      <c r="B581" t="s">
        <v>45</v>
      </c>
      <c r="C581" t="s">
        <v>10</v>
      </c>
      <c r="D581" s="1">
        <v>45870</v>
      </c>
      <c r="E581">
        <v>38000</v>
      </c>
    </row>
    <row r="582" spans="1:5" x14ac:dyDescent="0.35">
      <c r="A582" t="s">
        <v>43</v>
      </c>
      <c r="B582" t="s">
        <v>44</v>
      </c>
      <c r="C582" t="s">
        <v>16</v>
      </c>
      <c r="D582" s="1">
        <v>45992</v>
      </c>
      <c r="E582">
        <v>70000</v>
      </c>
    </row>
    <row r="583" spans="1:5" x14ac:dyDescent="0.35">
      <c r="A583" t="s">
        <v>22</v>
      </c>
      <c r="B583" t="s">
        <v>23</v>
      </c>
      <c r="C583" t="s">
        <v>28</v>
      </c>
      <c r="D583" s="1">
        <v>45627</v>
      </c>
      <c r="E583">
        <v>111000</v>
      </c>
    </row>
    <row r="584" spans="1:5" x14ac:dyDescent="0.35">
      <c r="A584" t="s">
        <v>24</v>
      </c>
      <c r="B584" t="s">
        <v>45</v>
      </c>
      <c r="C584" t="s">
        <v>10</v>
      </c>
      <c r="D584" s="1">
        <v>45717</v>
      </c>
      <c r="E584">
        <v>38000</v>
      </c>
    </row>
    <row r="585" spans="1:5" x14ac:dyDescent="0.35">
      <c r="A585" t="s">
        <v>5</v>
      </c>
      <c r="B585" t="s">
        <v>6</v>
      </c>
      <c r="C585" t="s">
        <v>21</v>
      </c>
      <c r="D585" s="1">
        <v>45931</v>
      </c>
      <c r="E585">
        <v>19000</v>
      </c>
    </row>
    <row r="586" spans="1:5" x14ac:dyDescent="0.35">
      <c r="A586" t="s">
        <v>33</v>
      </c>
      <c r="B586" t="s">
        <v>34</v>
      </c>
      <c r="C586" t="s">
        <v>21</v>
      </c>
      <c r="D586" s="1">
        <v>45901</v>
      </c>
      <c r="E586">
        <v>11000</v>
      </c>
    </row>
    <row r="587" spans="1:5" x14ac:dyDescent="0.35">
      <c r="A587" t="s">
        <v>41</v>
      </c>
      <c r="B587" t="s">
        <v>42</v>
      </c>
      <c r="C587" t="s">
        <v>65</v>
      </c>
      <c r="D587" s="1">
        <v>45870</v>
      </c>
      <c r="E587">
        <v>17000</v>
      </c>
    </row>
    <row r="588" spans="1:5" x14ac:dyDescent="0.35">
      <c r="A588" t="s">
        <v>8</v>
      </c>
      <c r="B588" t="s">
        <v>9</v>
      </c>
      <c r="C588" t="s">
        <v>65</v>
      </c>
      <c r="D588" s="1">
        <v>45778</v>
      </c>
      <c r="E588">
        <v>35000</v>
      </c>
    </row>
    <row r="589" spans="1:5" x14ac:dyDescent="0.35">
      <c r="A589" t="s">
        <v>70</v>
      </c>
      <c r="B589" t="s">
        <v>71</v>
      </c>
      <c r="C589" t="s">
        <v>28</v>
      </c>
      <c r="D589" s="1">
        <v>45901</v>
      </c>
      <c r="E589">
        <v>85000</v>
      </c>
    </row>
    <row r="590" spans="1:5" x14ac:dyDescent="0.35">
      <c r="A590" t="s">
        <v>33</v>
      </c>
      <c r="B590" t="s">
        <v>34</v>
      </c>
      <c r="C590" t="s">
        <v>13</v>
      </c>
      <c r="D590" s="1">
        <v>45931</v>
      </c>
      <c r="E590">
        <v>11000</v>
      </c>
    </row>
    <row r="591" spans="1:5" x14ac:dyDescent="0.35">
      <c r="A591" t="s">
        <v>62</v>
      </c>
      <c r="B591" t="s">
        <v>63</v>
      </c>
      <c r="C591" t="s">
        <v>28</v>
      </c>
      <c r="D591" s="1">
        <v>45839</v>
      </c>
      <c r="E591">
        <v>46000</v>
      </c>
    </row>
    <row r="592" spans="1:5" x14ac:dyDescent="0.35">
      <c r="A592" t="s">
        <v>39</v>
      </c>
      <c r="B592" t="s">
        <v>40</v>
      </c>
      <c r="C592" t="s">
        <v>10</v>
      </c>
      <c r="D592" s="1">
        <v>45778</v>
      </c>
      <c r="E592">
        <v>26000</v>
      </c>
    </row>
    <row r="593" spans="1:5" x14ac:dyDescent="0.35">
      <c r="A593" t="s">
        <v>22</v>
      </c>
      <c r="B593" t="s">
        <v>23</v>
      </c>
      <c r="C593" t="s">
        <v>65</v>
      </c>
      <c r="D593" s="1">
        <v>45962</v>
      </c>
      <c r="E593">
        <v>15000</v>
      </c>
    </row>
    <row r="594" spans="1:5" x14ac:dyDescent="0.35">
      <c r="A594" t="s">
        <v>53</v>
      </c>
      <c r="B594" t="s">
        <v>54</v>
      </c>
      <c r="C594" t="s">
        <v>65</v>
      </c>
      <c r="D594" s="1">
        <v>45962</v>
      </c>
      <c r="E594">
        <v>40000</v>
      </c>
    </row>
    <row r="595" spans="1:5" x14ac:dyDescent="0.35">
      <c r="A595" t="s">
        <v>29</v>
      </c>
      <c r="B595" t="s">
        <v>46</v>
      </c>
      <c r="C595" t="s">
        <v>10</v>
      </c>
      <c r="D595" s="1">
        <v>45931</v>
      </c>
      <c r="E595">
        <v>36000</v>
      </c>
    </row>
    <row r="596" spans="1:5" x14ac:dyDescent="0.35">
      <c r="A596" t="s">
        <v>41</v>
      </c>
      <c r="B596" t="s">
        <v>42</v>
      </c>
      <c r="C596" t="s">
        <v>16</v>
      </c>
      <c r="D596" s="1">
        <v>45748</v>
      </c>
      <c r="E596">
        <v>102000</v>
      </c>
    </row>
    <row r="597" spans="1:5" x14ac:dyDescent="0.35">
      <c r="A597" t="s">
        <v>11</v>
      </c>
      <c r="B597" t="s">
        <v>59</v>
      </c>
      <c r="C597" t="s">
        <v>50</v>
      </c>
      <c r="D597" s="1">
        <v>45809</v>
      </c>
      <c r="E597">
        <v>27000</v>
      </c>
    </row>
    <row r="598" spans="1:5" x14ac:dyDescent="0.35">
      <c r="A598" t="s">
        <v>72</v>
      </c>
      <c r="B598" t="s">
        <v>73</v>
      </c>
      <c r="C598" t="s">
        <v>7</v>
      </c>
      <c r="D598" s="1">
        <v>45627</v>
      </c>
      <c r="E598">
        <v>27000</v>
      </c>
    </row>
    <row r="599" spans="1:5" x14ac:dyDescent="0.35">
      <c r="A599" t="s">
        <v>5</v>
      </c>
      <c r="B599" t="s">
        <v>6</v>
      </c>
      <c r="C599" t="s">
        <v>10</v>
      </c>
      <c r="D599" s="1">
        <v>45839</v>
      </c>
      <c r="E599">
        <v>24000</v>
      </c>
    </row>
    <row r="600" spans="1:5" x14ac:dyDescent="0.35">
      <c r="A600" t="s">
        <v>37</v>
      </c>
      <c r="B600" t="s">
        <v>38</v>
      </c>
      <c r="C600" t="s">
        <v>10</v>
      </c>
      <c r="D600" s="1">
        <v>45778</v>
      </c>
      <c r="E600">
        <v>15000</v>
      </c>
    </row>
    <row r="601" spans="1:5" x14ac:dyDescent="0.35">
      <c r="A601" t="s">
        <v>8</v>
      </c>
      <c r="B601" t="s">
        <v>9</v>
      </c>
      <c r="C601" t="s">
        <v>16</v>
      </c>
      <c r="D601" s="1">
        <v>45778</v>
      </c>
      <c r="E601">
        <v>70000</v>
      </c>
    </row>
    <row r="602" spans="1:5" x14ac:dyDescent="0.35">
      <c r="A602" t="s">
        <v>17</v>
      </c>
      <c r="B602" t="s">
        <v>18</v>
      </c>
      <c r="C602" t="s">
        <v>13</v>
      </c>
      <c r="D602" s="1">
        <v>45962</v>
      </c>
      <c r="E602" s="2" t="s">
        <v>117</v>
      </c>
    </row>
    <row r="603" spans="1:5" x14ac:dyDescent="0.35">
      <c r="A603" t="s">
        <v>11</v>
      </c>
      <c r="B603" t="s">
        <v>59</v>
      </c>
      <c r="C603" t="s">
        <v>10</v>
      </c>
      <c r="D603" s="1">
        <v>45962</v>
      </c>
      <c r="E603">
        <v>39000</v>
      </c>
    </row>
    <row r="604" spans="1:5" x14ac:dyDescent="0.35">
      <c r="A604" t="s">
        <v>43</v>
      </c>
      <c r="B604" t="s">
        <v>96</v>
      </c>
      <c r="C604" t="s">
        <v>28</v>
      </c>
      <c r="D604" s="1">
        <v>45689</v>
      </c>
      <c r="E604">
        <v>70000</v>
      </c>
    </row>
    <row r="605" spans="1:5" x14ac:dyDescent="0.35">
      <c r="A605" t="s">
        <v>33</v>
      </c>
      <c r="B605" t="s">
        <v>34</v>
      </c>
      <c r="C605" t="s">
        <v>50</v>
      </c>
      <c r="D605" s="1">
        <v>45992</v>
      </c>
      <c r="E605">
        <v>11000</v>
      </c>
    </row>
    <row r="606" spans="1:5" x14ac:dyDescent="0.35">
      <c r="A606" t="s">
        <v>51</v>
      </c>
      <c r="B606" t="s">
        <v>118</v>
      </c>
      <c r="C606" t="s">
        <v>50</v>
      </c>
      <c r="D606" s="1">
        <v>45658</v>
      </c>
      <c r="E606">
        <v>21000</v>
      </c>
    </row>
    <row r="607" spans="1:5" x14ac:dyDescent="0.35">
      <c r="A607" t="s">
        <v>22</v>
      </c>
      <c r="B607" t="s">
        <v>23</v>
      </c>
      <c r="C607" t="s">
        <v>16</v>
      </c>
      <c r="D607" s="1">
        <v>45962</v>
      </c>
      <c r="E607">
        <v>132000</v>
      </c>
    </row>
    <row r="608" spans="1:5" x14ac:dyDescent="0.35">
      <c r="A608" t="s">
        <v>89</v>
      </c>
      <c r="B608" t="s">
        <v>90</v>
      </c>
      <c r="C608" t="s">
        <v>21</v>
      </c>
      <c r="D608" s="1">
        <v>45992</v>
      </c>
      <c r="E608">
        <v>19000</v>
      </c>
    </row>
    <row r="609" spans="1:5" x14ac:dyDescent="0.35">
      <c r="A609" t="s">
        <v>48</v>
      </c>
      <c r="B609" t="s">
        <v>119</v>
      </c>
      <c r="C609" t="s">
        <v>65</v>
      </c>
      <c r="D609" s="1">
        <v>45962</v>
      </c>
      <c r="E609">
        <v>26000</v>
      </c>
    </row>
    <row r="610" spans="1:5" x14ac:dyDescent="0.35">
      <c r="A610" t="s">
        <v>62</v>
      </c>
      <c r="B610" t="s">
        <v>63</v>
      </c>
      <c r="C610" t="s">
        <v>28</v>
      </c>
      <c r="D610" s="1">
        <v>45658</v>
      </c>
      <c r="E610">
        <v>62000</v>
      </c>
    </row>
    <row r="611" spans="1:5" x14ac:dyDescent="0.35">
      <c r="A611" t="s">
        <v>41</v>
      </c>
      <c r="B611" t="s">
        <v>120</v>
      </c>
      <c r="C611" t="s">
        <v>28</v>
      </c>
      <c r="D611" s="1">
        <v>45717</v>
      </c>
      <c r="E611">
        <v>102000</v>
      </c>
    </row>
    <row r="612" spans="1:5" x14ac:dyDescent="0.35">
      <c r="A612" t="s">
        <v>31</v>
      </c>
      <c r="B612" t="s">
        <v>32</v>
      </c>
      <c r="C612" t="s">
        <v>28</v>
      </c>
      <c r="D612" s="1">
        <v>45809</v>
      </c>
      <c r="E612">
        <v>77000</v>
      </c>
    </row>
    <row r="613" spans="1:5" x14ac:dyDescent="0.35">
      <c r="A613" t="s">
        <v>68</v>
      </c>
      <c r="B613" t="s">
        <v>69</v>
      </c>
      <c r="C613" t="s">
        <v>28</v>
      </c>
      <c r="D613" s="1">
        <v>45931</v>
      </c>
      <c r="E613" t="s">
        <v>83</v>
      </c>
    </row>
    <row r="614" spans="1:5" x14ac:dyDescent="0.35">
      <c r="A614" t="s">
        <v>89</v>
      </c>
      <c r="B614" t="s">
        <v>90</v>
      </c>
      <c r="C614" t="s">
        <v>13</v>
      </c>
      <c r="D614" s="1">
        <v>45962</v>
      </c>
      <c r="E614">
        <v>19000</v>
      </c>
    </row>
    <row r="615" spans="1:5" x14ac:dyDescent="0.35">
      <c r="A615" t="s">
        <v>39</v>
      </c>
      <c r="B615" t="s">
        <v>40</v>
      </c>
      <c r="C615" t="s">
        <v>10</v>
      </c>
      <c r="D615" s="1">
        <v>45992</v>
      </c>
      <c r="E615">
        <v>31000</v>
      </c>
    </row>
    <row r="616" spans="1:5" x14ac:dyDescent="0.35">
      <c r="A616" t="s">
        <v>33</v>
      </c>
      <c r="B616" t="s">
        <v>34</v>
      </c>
      <c r="C616" t="s">
        <v>10</v>
      </c>
      <c r="D616" s="1">
        <v>45931</v>
      </c>
      <c r="E616">
        <v>17000</v>
      </c>
    </row>
    <row r="617" spans="1:5" x14ac:dyDescent="0.35">
      <c r="A617" t="s">
        <v>78</v>
      </c>
      <c r="B617" t="s">
        <v>79</v>
      </c>
      <c r="C617" t="s">
        <v>28</v>
      </c>
      <c r="D617" s="1">
        <v>45809</v>
      </c>
      <c r="E617">
        <v>49000</v>
      </c>
    </row>
    <row r="618" spans="1:5" x14ac:dyDescent="0.35">
      <c r="A618" t="s">
        <v>17</v>
      </c>
      <c r="B618" t="s">
        <v>18</v>
      </c>
      <c r="C618" t="s">
        <v>50</v>
      </c>
      <c r="D618" s="1">
        <v>45778</v>
      </c>
      <c r="E618">
        <v>10000</v>
      </c>
    </row>
    <row r="619" spans="1:5" x14ac:dyDescent="0.35">
      <c r="A619" t="s">
        <v>41</v>
      </c>
      <c r="B619" t="s">
        <v>42</v>
      </c>
      <c r="C619" t="s">
        <v>16</v>
      </c>
      <c r="D619" s="1">
        <v>45962</v>
      </c>
      <c r="E619">
        <v>102000</v>
      </c>
    </row>
    <row r="620" spans="1:5" x14ac:dyDescent="0.35">
      <c r="A620" t="s">
        <v>72</v>
      </c>
      <c r="B620" t="s">
        <v>73</v>
      </c>
      <c r="C620" t="s">
        <v>28</v>
      </c>
      <c r="D620" s="1">
        <v>45689</v>
      </c>
      <c r="E620">
        <v>117000</v>
      </c>
    </row>
    <row r="621" spans="1:5" x14ac:dyDescent="0.35">
      <c r="A621" t="s">
        <v>66</v>
      </c>
      <c r="B621" t="s">
        <v>67</v>
      </c>
      <c r="C621" t="s">
        <v>65</v>
      </c>
      <c r="D621" s="1">
        <v>45992</v>
      </c>
      <c r="E621">
        <v>19000</v>
      </c>
    </row>
    <row r="622" spans="1:5" x14ac:dyDescent="0.35">
      <c r="A622" t="s">
        <v>60</v>
      </c>
      <c r="B622" t="s">
        <v>61</v>
      </c>
      <c r="C622" t="s">
        <v>21</v>
      </c>
      <c r="D622" s="1">
        <v>45778</v>
      </c>
      <c r="E622">
        <v>18000</v>
      </c>
    </row>
    <row r="623" spans="1:5" x14ac:dyDescent="0.35">
      <c r="A623" t="s">
        <v>11</v>
      </c>
      <c r="B623" t="s">
        <v>59</v>
      </c>
      <c r="C623" t="s">
        <v>21</v>
      </c>
      <c r="D623" s="1">
        <v>45901</v>
      </c>
      <c r="E623">
        <v>27000</v>
      </c>
    </row>
    <row r="624" spans="1:5" x14ac:dyDescent="0.35">
      <c r="A624" t="s">
        <v>74</v>
      </c>
      <c r="B624" t="s">
        <v>121</v>
      </c>
      <c r="C624" t="s">
        <v>28</v>
      </c>
      <c r="D624" s="1">
        <v>45689</v>
      </c>
      <c r="E624">
        <v>120000</v>
      </c>
    </row>
    <row r="625" spans="1:5" x14ac:dyDescent="0.35">
      <c r="A625" t="s">
        <v>5</v>
      </c>
      <c r="B625" t="s">
        <v>6</v>
      </c>
      <c r="C625" t="s">
        <v>21</v>
      </c>
      <c r="D625" s="1">
        <v>45901</v>
      </c>
      <c r="E625">
        <v>19000</v>
      </c>
    </row>
    <row r="626" spans="1:5" x14ac:dyDescent="0.35">
      <c r="A626" t="s">
        <v>62</v>
      </c>
      <c r="B626" t="s">
        <v>63</v>
      </c>
      <c r="C626" t="s">
        <v>28</v>
      </c>
      <c r="D626" s="1">
        <v>45778</v>
      </c>
      <c r="E626">
        <v>62000</v>
      </c>
    </row>
    <row r="627" spans="1:5" x14ac:dyDescent="0.35">
      <c r="A627" t="s">
        <v>72</v>
      </c>
      <c r="B627" t="s">
        <v>73</v>
      </c>
      <c r="C627" t="s">
        <v>21</v>
      </c>
      <c r="D627" s="1">
        <v>45839</v>
      </c>
      <c r="E627">
        <v>16000</v>
      </c>
    </row>
    <row r="628" spans="1:5" x14ac:dyDescent="0.35">
      <c r="A628" t="s">
        <v>11</v>
      </c>
      <c r="B628" t="s">
        <v>59</v>
      </c>
      <c r="C628" t="s">
        <v>10</v>
      </c>
      <c r="D628" s="1">
        <v>45778</v>
      </c>
      <c r="E628">
        <v>39000</v>
      </c>
    </row>
    <row r="629" spans="1:5" x14ac:dyDescent="0.35">
      <c r="A629" t="s">
        <v>57</v>
      </c>
      <c r="B629" t="s">
        <v>58</v>
      </c>
      <c r="C629" t="s">
        <v>21</v>
      </c>
      <c r="D629" s="1">
        <v>45931</v>
      </c>
      <c r="E629">
        <v>20000</v>
      </c>
    </row>
    <row r="630" spans="1:5" x14ac:dyDescent="0.35">
      <c r="A630" t="s">
        <v>11</v>
      </c>
      <c r="B630" t="s">
        <v>59</v>
      </c>
      <c r="C630" t="s">
        <v>7</v>
      </c>
      <c r="D630" s="1">
        <v>45901</v>
      </c>
      <c r="E630">
        <v>39000</v>
      </c>
    </row>
    <row r="631" spans="1:5" x14ac:dyDescent="0.35">
      <c r="A631" t="s">
        <v>89</v>
      </c>
      <c r="B631" t="s">
        <v>90</v>
      </c>
      <c r="C631" t="s">
        <v>28</v>
      </c>
      <c r="D631" s="1">
        <v>45962</v>
      </c>
      <c r="E631">
        <v>71000</v>
      </c>
    </row>
    <row r="632" spans="1:5" x14ac:dyDescent="0.35">
      <c r="A632" t="s">
        <v>72</v>
      </c>
      <c r="B632" t="s">
        <v>73</v>
      </c>
      <c r="C632" t="s">
        <v>28</v>
      </c>
      <c r="D632" s="1">
        <v>45962</v>
      </c>
      <c r="E632">
        <v>117000</v>
      </c>
    </row>
    <row r="633" spans="1:5" x14ac:dyDescent="0.35">
      <c r="A633" t="s">
        <v>60</v>
      </c>
      <c r="B633" t="s">
        <v>61</v>
      </c>
      <c r="C633" t="s">
        <v>28</v>
      </c>
      <c r="D633" s="1">
        <v>45870</v>
      </c>
      <c r="E633">
        <v>35000</v>
      </c>
    </row>
    <row r="634" spans="1:5" x14ac:dyDescent="0.35">
      <c r="A634" t="s">
        <v>11</v>
      </c>
      <c r="B634" t="s">
        <v>59</v>
      </c>
      <c r="C634" t="s">
        <v>28</v>
      </c>
      <c r="D634" s="1">
        <v>45748</v>
      </c>
      <c r="E634">
        <v>118000</v>
      </c>
    </row>
    <row r="635" spans="1:5" x14ac:dyDescent="0.35">
      <c r="A635" t="s">
        <v>17</v>
      </c>
      <c r="B635" t="s">
        <v>18</v>
      </c>
      <c r="C635" t="s">
        <v>10</v>
      </c>
      <c r="D635" s="1">
        <v>45962</v>
      </c>
      <c r="E635" t="s">
        <v>122</v>
      </c>
    </row>
    <row r="636" spans="1:5" x14ac:dyDescent="0.35">
      <c r="A636" t="s">
        <v>26</v>
      </c>
      <c r="B636" t="s">
        <v>27</v>
      </c>
      <c r="C636" t="s">
        <v>16</v>
      </c>
      <c r="D636" s="1">
        <v>45839</v>
      </c>
      <c r="E636">
        <v>72000</v>
      </c>
    </row>
    <row r="637" spans="1:5" x14ac:dyDescent="0.35">
      <c r="A637" t="s">
        <v>78</v>
      </c>
      <c r="B637" t="s">
        <v>79</v>
      </c>
      <c r="C637" t="s">
        <v>28</v>
      </c>
      <c r="D637" s="1">
        <v>45870</v>
      </c>
      <c r="E637">
        <v>49000</v>
      </c>
    </row>
    <row r="638" spans="1:5" x14ac:dyDescent="0.35">
      <c r="A638" t="s">
        <v>11</v>
      </c>
      <c r="B638" t="s">
        <v>59</v>
      </c>
      <c r="C638" t="s">
        <v>28</v>
      </c>
      <c r="D638" s="1">
        <v>45658</v>
      </c>
      <c r="E638">
        <v>118000</v>
      </c>
    </row>
    <row r="639" spans="1:5" x14ac:dyDescent="0.35">
      <c r="A639" t="s">
        <v>51</v>
      </c>
      <c r="B639" t="s">
        <v>52</v>
      </c>
      <c r="C639" t="s">
        <v>28</v>
      </c>
      <c r="D639" s="1">
        <v>45627</v>
      </c>
      <c r="E639">
        <v>38000</v>
      </c>
    </row>
    <row r="640" spans="1:5" x14ac:dyDescent="0.35">
      <c r="A640" t="s">
        <v>26</v>
      </c>
      <c r="B640" t="s">
        <v>27</v>
      </c>
      <c r="C640" t="s">
        <v>28</v>
      </c>
      <c r="D640" s="1">
        <v>45931</v>
      </c>
      <c r="E640">
        <v>72000</v>
      </c>
    </row>
    <row r="641" spans="1:5" x14ac:dyDescent="0.35">
      <c r="A641" t="s">
        <v>11</v>
      </c>
      <c r="B641" t="s">
        <v>59</v>
      </c>
      <c r="C641" t="s">
        <v>13</v>
      </c>
      <c r="D641" s="1">
        <v>45778</v>
      </c>
      <c r="E641">
        <v>27000</v>
      </c>
    </row>
    <row r="642" spans="1:5" x14ac:dyDescent="0.35">
      <c r="A642" t="s">
        <v>60</v>
      </c>
      <c r="B642" t="s">
        <v>61</v>
      </c>
      <c r="C642" t="s">
        <v>16</v>
      </c>
      <c r="D642" s="1">
        <v>45901</v>
      </c>
      <c r="E642">
        <v>35000</v>
      </c>
    </row>
    <row r="643" spans="1:5" x14ac:dyDescent="0.35">
      <c r="A643" t="s">
        <v>70</v>
      </c>
      <c r="B643" t="s">
        <v>71</v>
      </c>
      <c r="C643" t="s">
        <v>28</v>
      </c>
      <c r="D643" s="1">
        <v>45992</v>
      </c>
      <c r="E643">
        <v>85000</v>
      </c>
    </row>
    <row r="644" spans="1:5" x14ac:dyDescent="0.35">
      <c r="A644" t="s">
        <v>39</v>
      </c>
      <c r="B644" t="s">
        <v>40</v>
      </c>
      <c r="C644" t="s">
        <v>21</v>
      </c>
      <c r="D644" s="1">
        <v>45901</v>
      </c>
      <c r="E644">
        <v>19000</v>
      </c>
    </row>
    <row r="645" spans="1:5" x14ac:dyDescent="0.35">
      <c r="A645" t="s">
        <v>26</v>
      </c>
      <c r="B645" t="s">
        <v>27</v>
      </c>
      <c r="C645" t="s">
        <v>16</v>
      </c>
      <c r="D645" s="1">
        <v>45992</v>
      </c>
      <c r="E645">
        <v>72000</v>
      </c>
    </row>
    <row r="646" spans="1:5" x14ac:dyDescent="0.35">
      <c r="A646" t="s">
        <v>60</v>
      </c>
      <c r="B646" t="s">
        <v>61</v>
      </c>
      <c r="C646" t="s">
        <v>50</v>
      </c>
      <c r="D646" s="1">
        <v>45689</v>
      </c>
      <c r="E646">
        <v>18000</v>
      </c>
    </row>
    <row r="647" spans="1:5" x14ac:dyDescent="0.35">
      <c r="A647" t="s">
        <v>91</v>
      </c>
      <c r="B647" t="s">
        <v>92</v>
      </c>
      <c r="C647" t="s">
        <v>16</v>
      </c>
      <c r="D647" s="1">
        <v>45870</v>
      </c>
      <c r="E647">
        <v>105000</v>
      </c>
    </row>
    <row r="648" spans="1:5" x14ac:dyDescent="0.35">
      <c r="A648" t="s">
        <v>60</v>
      </c>
      <c r="B648" t="s">
        <v>61</v>
      </c>
      <c r="C648" t="s">
        <v>50</v>
      </c>
      <c r="D648" s="1">
        <v>45901</v>
      </c>
      <c r="E648">
        <v>18000</v>
      </c>
    </row>
    <row r="649" spans="1:5" x14ac:dyDescent="0.35">
      <c r="A649" t="s">
        <v>78</v>
      </c>
      <c r="B649" t="s">
        <v>79</v>
      </c>
      <c r="C649" t="s">
        <v>28</v>
      </c>
      <c r="D649" s="1">
        <v>45962</v>
      </c>
      <c r="E649">
        <v>49000</v>
      </c>
    </row>
    <row r="650" spans="1:5" x14ac:dyDescent="0.35">
      <c r="A650" t="s">
        <v>17</v>
      </c>
      <c r="B650" t="s">
        <v>18</v>
      </c>
      <c r="C650" t="s">
        <v>28</v>
      </c>
      <c r="D650" s="1">
        <v>45627</v>
      </c>
      <c r="E650">
        <v>90000</v>
      </c>
    </row>
    <row r="651" spans="1:5" x14ac:dyDescent="0.35">
      <c r="A651" t="s">
        <v>19</v>
      </c>
      <c r="B651" t="s">
        <v>20</v>
      </c>
      <c r="C651" t="s">
        <v>10</v>
      </c>
      <c r="D651" s="1">
        <v>45748</v>
      </c>
      <c r="E651">
        <v>30000</v>
      </c>
    </row>
    <row r="652" spans="1:5" x14ac:dyDescent="0.35">
      <c r="A652" t="s">
        <v>17</v>
      </c>
      <c r="B652" t="s">
        <v>18</v>
      </c>
      <c r="C652" t="s">
        <v>28</v>
      </c>
      <c r="D652" s="1">
        <v>45809</v>
      </c>
      <c r="E652">
        <v>90000</v>
      </c>
    </row>
    <row r="653" spans="1:5" x14ac:dyDescent="0.35">
      <c r="A653" t="s">
        <v>87</v>
      </c>
      <c r="B653" t="s">
        <v>88</v>
      </c>
      <c r="C653" t="s">
        <v>28</v>
      </c>
      <c r="D653" s="1">
        <v>45627</v>
      </c>
      <c r="E653">
        <v>73000</v>
      </c>
    </row>
    <row r="654" spans="1:5" x14ac:dyDescent="0.35">
      <c r="A654" t="s">
        <v>72</v>
      </c>
      <c r="B654" t="s">
        <v>73</v>
      </c>
      <c r="C654" t="s">
        <v>10</v>
      </c>
      <c r="D654" s="1">
        <v>45748</v>
      </c>
      <c r="E654">
        <v>27000</v>
      </c>
    </row>
    <row r="655" spans="1:5" x14ac:dyDescent="0.35">
      <c r="A655" t="s">
        <v>17</v>
      </c>
      <c r="B655" t="s">
        <v>18</v>
      </c>
      <c r="C655" t="s">
        <v>21</v>
      </c>
      <c r="D655" s="1">
        <v>45748</v>
      </c>
      <c r="E655">
        <v>10000</v>
      </c>
    </row>
    <row r="656" spans="1:5" x14ac:dyDescent="0.35">
      <c r="A656" t="s">
        <v>19</v>
      </c>
      <c r="B656" t="s">
        <v>20</v>
      </c>
      <c r="C656" t="s">
        <v>21</v>
      </c>
      <c r="D656" s="1">
        <v>45689</v>
      </c>
      <c r="E656">
        <v>10000</v>
      </c>
    </row>
    <row r="657" spans="1:5" x14ac:dyDescent="0.35">
      <c r="A657" t="s">
        <v>60</v>
      </c>
      <c r="B657" t="s">
        <v>61</v>
      </c>
      <c r="C657" t="s">
        <v>21</v>
      </c>
      <c r="D657" s="1">
        <v>45748</v>
      </c>
      <c r="E657">
        <v>18000</v>
      </c>
    </row>
    <row r="658" spans="1:5" x14ac:dyDescent="0.35">
      <c r="A658" t="s">
        <v>39</v>
      </c>
      <c r="B658" t="s">
        <v>40</v>
      </c>
      <c r="C658" t="s">
        <v>28</v>
      </c>
      <c r="D658" s="1">
        <v>45901</v>
      </c>
      <c r="E658">
        <v>60000</v>
      </c>
    </row>
    <row r="659" spans="1:5" x14ac:dyDescent="0.35">
      <c r="A659" t="s">
        <v>78</v>
      </c>
      <c r="B659" t="s">
        <v>79</v>
      </c>
      <c r="C659" t="s">
        <v>10</v>
      </c>
      <c r="D659" s="1">
        <v>45962</v>
      </c>
      <c r="E659">
        <v>17000</v>
      </c>
    </row>
    <row r="660" spans="1:5" x14ac:dyDescent="0.35">
      <c r="A660" t="s">
        <v>8</v>
      </c>
      <c r="B660" t="s">
        <v>9</v>
      </c>
      <c r="C660" t="s">
        <v>13</v>
      </c>
      <c r="D660" s="1">
        <v>45992</v>
      </c>
      <c r="E660">
        <v>17000</v>
      </c>
    </row>
    <row r="661" spans="1:5" x14ac:dyDescent="0.35">
      <c r="A661" t="s">
        <v>41</v>
      </c>
      <c r="B661" t="s">
        <v>42</v>
      </c>
      <c r="C661" t="s">
        <v>13</v>
      </c>
      <c r="D661" s="1">
        <v>45839</v>
      </c>
      <c r="E661">
        <v>22000</v>
      </c>
    </row>
    <row r="662" spans="1:5" x14ac:dyDescent="0.35">
      <c r="A662" t="s">
        <v>55</v>
      </c>
      <c r="B662" t="s">
        <v>56</v>
      </c>
      <c r="C662" t="s">
        <v>28</v>
      </c>
      <c r="D662" s="1">
        <v>45962</v>
      </c>
      <c r="E662">
        <v>87000</v>
      </c>
    </row>
    <row r="663" spans="1:5" x14ac:dyDescent="0.35">
      <c r="A663" t="s">
        <v>78</v>
      </c>
      <c r="B663" t="s">
        <v>79</v>
      </c>
      <c r="C663" t="s">
        <v>50</v>
      </c>
      <c r="D663" s="1">
        <v>45962</v>
      </c>
      <c r="E663">
        <v>28000</v>
      </c>
    </row>
    <row r="664" spans="1:5" x14ac:dyDescent="0.35">
      <c r="A664" t="s">
        <v>26</v>
      </c>
      <c r="B664" t="s">
        <v>27</v>
      </c>
      <c r="C664" t="s">
        <v>21</v>
      </c>
      <c r="D664" s="1">
        <v>45901</v>
      </c>
      <c r="E664">
        <v>10000</v>
      </c>
    </row>
    <row r="665" spans="1:5" x14ac:dyDescent="0.35">
      <c r="A665" t="s">
        <v>43</v>
      </c>
      <c r="B665" t="s">
        <v>44</v>
      </c>
      <c r="C665" t="s">
        <v>10</v>
      </c>
      <c r="D665" s="1">
        <v>45870</v>
      </c>
      <c r="E665">
        <v>22000</v>
      </c>
    </row>
    <row r="666" spans="1:5" x14ac:dyDescent="0.35">
      <c r="A666" t="s">
        <v>5</v>
      </c>
      <c r="B666" t="s">
        <v>6</v>
      </c>
      <c r="C666" t="s">
        <v>16</v>
      </c>
      <c r="D666" s="1">
        <v>45717</v>
      </c>
      <c r="E666">
        <v>85000</v>
      </c>
    </row>
    <row r="667" spans="1:5" x14ac:dyDescent="0.35">
      <c r="A667" t="s">
        <v>70</v>
      </c>
      <c r="B667" t="s">
        <v>71</v>
      </c>
      <c r="C667" t="s">
        <v>21</v>
      </c>
      <c r="D667" s="1">
        <v>45658</v>
      </c>
      <c r="E667">
        <v>9000</v>
      </c>
    </row>
    <row r="668" spans="1:5" x14ac:dyDescent="0.35">
      <c r="A668" t="s">
        <v>53</v>
      </c>
      <c r="B668" t="s">
        <v>54</v>
      </c>
      <c r="C668" t="s">
        <v>65</v>
      </c>
      <c r="D668" s="1">
        <v>45870</v>
      </c>
      <c r="E668">
        <v>35000</v>
      </c>
    </row>
    <row r="669" spans="1:5" x14ac:dyDescent="0.35">
      <c r="A669" t="s">
        <v>8</v>
      </c>
      <c r="B669" t="s">
        <v>9</v>
      </c>
      <c r="C669" t="s">
        <v>16</v>
      </c>
      <c r="D669" s="1">
        <v>45748</v>
      </c>
      <c r="E669">
        <v>70000</v>
      </c>
    </row>
    <row r="670" spans="1:5" x14ac:dyDescent="0.35">
      <c r="A670" t="s">
        <v>48</v>
      </c>
      <c r="B670" t="s">
        <v>49</v>
      </c>
      <c r="C670" t="s">
        <v>50</v>
      </c>
      <c r="D670" s="1">
        <v>45931</v>
      </c>
      <c r="E670">
        <v>11000</v>
      </c>
    </row>
    <row r="671" spans="1:5" x14ac:dyDescent="0.35">
      <c r="A671" t="s">
        <v>39</v>
      </c>
      <c r="B671" t="s">
        <v>40</v>
      </c>
      <c r="C671" t="s">
        <v>21</v>
      </c>
      <c r="D671" s="1">
        <v>45931</v>
      </c>
      <c r="E671">
        <v>19000</v>
      </c>
    </row>
    <row r="672" spans="1:5" x14ac:dyDescent="0.35">
      <c r="A672" t="s">
        <v>11</v>
      </c>
      <c r="B672" t="s">
        <v>59</v>
      </c>
      <c r="C672" t="s">
        <v>16</v>
      </c>
      <c r="D672" s="1">
        <v>45901</v>
      </c>
      <c r="E672">
        <v>118000</v>
      </c>
    </row>
    <row r="673" spans="1:5" x14ac:dyDescent="0.35">
      <c r="A673" t="s">
        <v>72</v>
      </c>
      <c r="B673" t="s">
        <v>73</v>
      </c>
      <c r="C673" t="s">
        <v>16</v>
      </c>
      <c r="D673" s="1">
        <v>45901</v>
      </c>
      <c r="E673">
        <v>117000</v>
      </c>
    </row>
    <row r="674" spans="1:5" x14ac:dyDescent="0.35">
      <c r="A674" t="s">
        <v>41</v>
      </c>
      <c r="B674" t="s">
        <v>42</v>
      </c>
      <c r="C674" t="s">
        <v>21</v>
      </c>
      <c r="D674" s="1">
        <v>45778</v>
      </c>
      <c r="E674">
        <v>22000</v>
      </c>
    </row>
    <row r="675" spans="1:5" x14ac:dyDescent="0.35">
      <c r="A675" t="s">
        <v>72</v>
      </c>
      <c r="B675" t="s">
        <v>73</v>
      </c>
      <c r="C675" t="s">
        <v>28</v>
      </c>
      <c r="D675" s="1">
        <v>45658</v>
      </c>
      <c r="E675">
        <v>117000</v>
      </c>
    </row>
    <row r="676" spans="1:5" x14ac:dyDescent="0.35">
      <c r="A676" t="s">
        <v>39</v>
      </c>
      <c r="B676" t="s">
        <v>40</v>
      </c>
      <c r="C676" t="s">
        <v>13</v>
      </c>
      <c r="D676" s="1">
        <v>45809</v>
      </c>
      <c r="E676">
        <v>19000</v>
      </c>
    </row>
    <row r="677" spans="1:5" x14ac:dyDescent="0.35">
      <c r="A677" t="s">
        <v>22</v>
      </c>
      <c r="B677" t="s">
        <v>23</v>
      </c>
      <c r="C677" t="s">
        <v>65</v>
      </c>
      <c r="D677" s="1">
        <v>45809</v>
      </c>
      <c r="E677">
        <v>15000</v>
      </c>
    </row>
    <row r="678" spans="1:5" x14ac:dyDescent="0.35">
      <c r="A678" t="s">
        <v>24</v>
      </c>
      <c r="B678" t="s">
        <v>45</v>
      </c>
      <c r="C678" t="s">
        <v>10</v>
      </c>
      <c r="D678" s="1">
        <v>45962</v>
      </c>
      <c r="E678">
        <v>38000</v>
      </c>
    </row>
    <row r="679" spans="1:5" x14ac:dyDescent="0.35">
      <c r="A679" t="s">
        <v>91</v>
      </c>
      <c r="B679" t="s">
        <v>92</v>
      </c>
      <c r="C679" t="s">
        <v>50</v>
      </c>
      <c r="D679" s="1">
        <v>45962</v>
      </c>
      <c r="E679" t="s">
        <v>123</v>
      </c>
    </row>
    <row r="680" spans="1:5" x14ac:dyDescent="0.35">
      <c r="A680" t="s">
        <v>43</v>
      </c>
      <c r="B680" t="s">
        <v>44</v>
      </c>
      <c r="C680" t="s">
        <v>7</v>
      </c>
      <c r="D680" s="1">
        <v>45962</v>
      </c>
      <c r="E680">
        <v>22000</v>
      </c>
    </row>
    <row r="681" spans="1:5" x14ac:dyDescent="0.35">
      <c r="A681" t="s">
        <v>72</v>
      </c>
      <c r="B681" t="s">
        <v>73</v>
      </c>
      <c r="C681" t="s">
        <v>21</v>
      </c>
      <c r="D681" s="1">
        <v>45870</v>
      </c>
      <c r="E681">
        <v>16000</v>
      </c>
    </row>
    <row r="682" spans="1:5" x14ac:dyDescent="0.35">
      <c r="A682" t="s">
        <v>29</v>
      </c>
      <c r="B682" t="s">
        <v>46</v>
      </c>
      <c r="C682" t="s">
        <v>16</v>
      </c>
      <c r="D682" s="1">
        <v>45689</v>
      </c>
      <c r="E682">
        <v>60000</v>
      </c>
    </row>
    <row r="683" spans="1:5" x14ac:dyDescent="0.35">
      <c r="A683" t="s">
        <v>24</v>
      </c>
      <c r="B683" t="s">
        <v>45</v>
      </c>
      <c r="C683" t="s">
        <v>13</v>
      </c>
      <c r="D683" s="1">
        <v>45992</v>
      </c>
      <c r="E683">
        <v>22000</v>
      </c>
    </row>
    <row r="684" spans="1:5" x14ac:dyDescent="0.35">
      <c r="A684" t="s">
        <v>35</v>
      </c>
      <c r="B684" t="s">
        <v>81</v>
      </c>
      <c r="C684" t="s">
        <v>28</v>
      </c>
      <c r="D684" s="1">
        <v>45901</v>
      </c>
      <c r="E684">
        <v>33000</v>
      </c>
    </row>
    <row r="685" spans="1:5" x14ac:dyDescent="0.35">
      <c r="A685" t="s">
        <v>17</v>
      </c>
      <c r="B685" t="s">
        <v>18</v>
      </c>
      <c r="C685" t="s">
        <v>16</v>
      </c>
      <c r="D685" s="1">
        <v>45658</v>
      </c>
      <c r="E685">
        <v>90000</v>
      </c>
    </row>
    <row r="686" spans="1:5" x14ac:dyDescent="0.35">
      <c r="A686" t="s">
        <v>24</v>
      </c>
      <c r="B686" t="s">
        <v>45</v>
      </c>
      <c r="C686" t="s">
        <v>21</v>
      </c>
      <c r="D686" s="1">
        <v>45748</v>
      </c>
      <c r="E686">
        <v>22000</v>
      </c>
    </row>
    <row r="687" spans="1:5" x14ac:dyDescent="0.35">
      <c r="A687" t="s">
        <v>43</v>
      </c>
      <c r="B687" t="s">
        <v>44</v>
      </c>
      <c r="C687" t="s">
        <v>21</v>
      </c>
      <c r="D687" s="1">
        <v>45992</v>
      </c>
      <c r="E687">
        <v>27000</v>
      </c>
    </row>
    <row r="688" spans="1:5" x14ac:dyDescent="0.35">
      <c r="A688" t="s">
        <v>60</v>
      </c>
      <c r="B688" t="s">
        <v>61</v>
      </c>
      <c r="C688" t="s">
        <v>10</v>
      </c>
      <c r="D688" s="1">
        <v>45962</v>
      </c>
      <c r="E688">
        <v>23000</v>
      </c>
    </row>
    <row r="689" spans="1:5" x14ac:dyDescent="0.35">
      <c r="A689" t="s">
        <v>19</v>
      </c>
      <c r="B689" t="s">
        <v>20</v>
      </c>
      <c r="C689" t="s">
        <v>10</v>
      </c>
      <c r="D689" s="1">
        <v>45627</v>
      </c>
      <c r="E689">
        <v>30000</v>
      </c>
    </row>
    <row r="690" spans="1:5" x14ac:dyDescent="0.35">
      <c r="A690" t="s">
        <v>62</v>
      </c>
      <c r="B690" t="s">
        <v>63</v>
      </c>
      <c r="C690" t="s">
        <v>28</v>
      </c>
      <c r="D690" s="1">
        <v>45870</v>
      </c>
      <c r="E690">
        <v>46000</v>
      </c>
    </row>
    <row r="691" spans="1:5" x14ac:dyDescent="0.35">
      <c r="A691" t="s">
        <v>51</v>
      </c>
      <c r="B691" t="s">
        <v>52</v>
      </c>
      <c r="C691" t="s">
        <v>50</v>
      </c>
      <c r="D691" s="1">
        <v>45689</v>
      </c>
      <c r="E691">
        <v>21000</v>
      </c>
    </row>
    <row r="692" spans="1:5" x14ac:dyDescent="0.35">
      <c r="A692" t="s">
        <v>62</v>
      </c>
      <c r="B692" t="s">
        <v>63</v>
      </c>
      <c r="C692" t="s">
        <v>16</v>
      </c>
      <c r="D692" s="1">
        <v>45717</v>
      </c>
      <c r="E692">
        <v>62000</v>
      </c>
    </row>
    <row r="693" spans="1:5" x14ac:dyDescent="0.35">
      <c r="A693" t="s">
        <v>19</v>
      </c>
      <c r="B693" t="s">
        <v>20</v>
      </c>
      <c r="C693" t="s">
        <v>28</v>
      </c>
      <c r="D693" s="1">
        <v>45870</v>
      </c>
      <c r="E693">
        <v>79000</v>
      </c>
    </row>
    <row r="694" spans="1:5" x14ac:dyDescent="0.35">
      <c r="A694" t="s">
        <v>11</v>
      </c>
      <c r="B694" t="s">
        <v>59</v>
      </c>
      <c r="C694" t="s">
        <v>65</v>
      </c>
      <c r="D694" s="1">
        <v>45809</v>
      </c>
      <c r="E694">
        <v>39000</v>
      </c>
    </row>
    <row r="695" spans="1:5" x14ac:dyDescent="0.35">
      <c r="A695" t="s">
        <v>70</v>
      </c>
      <c r="B695" t="s">
        <v>71</v>
      </c>
      <c r="C695" t="s">
        <v>16</v>
      </c>
      <c r="D695" s="1">
        <v>45717</v>
      </c>
      <c r="E695">
        <v>85000</v>
      </c>
    </row>
    <row r="696" spans="1:5" x14ac:dyDescent="0.35">
      <c r="A696" t="s">
        <v>53</v>
      </c>
      <c r="B696" t="s">
        <v>54</v>
      </c>
      <c r="C696" t="s">
        <v>28</v>
      </c>
      <c r="D696" s="1">
        <v>45627</v>
      </c>
      <c r="E696">
        <v>63000</v>
      </c>
    </row>
    <row r="697" spans="1:5" x14ac:dyDescent="0.35">
      <c r="A697" t="s">
        <v>57</v>
      </c>
      <c r="B697" t="s">
        <v>58</v>
      </c>
      <c r="C697" t="s">
        <v>10</v>
      </c>
      <c r="D697" s="1">
        <v>45901</v>
      </c>
      <c r="E697">
        <v>18000</v>
      </c>
    </row>
    <row r="698" spans="1:5" x14ac:dyDescent="0.35">
      <c r="A698" t="s">
        <v>43</v>
      </c>
      <c r="B698" t="s">
        <v>44</v>
      </c>
      <c r="C698" t="s">
        <v>50</v>
      </c>
      <c r="D698" s="1">
        <v>45627</v>
      </c>
      <c r="E698">
        <v>27000</v>
      </c>
    </row>
    <row r="699" spans="1:5" x14ac:dyDescent="0.35">
      <c r="A699" t="s">
        <v>19</v>
      </c>
      <c r="B699" t="s">
        <v>20</v>
      </c>
      <c r="C699" t="s">
        <v>28</v>
      </c>
      <c r="D699" s="1">
        <v>45992</v>
      </c>
      <c r="E699">
        <v>90000</v>
      </c>
    </row>
    <row r="700" spans="1:5" x14ac:dyDescent="0.35">
      <c r="A700" t="s">
        <v>26</v>
      </c>
      <c r="B700" t="s">
        <v>27</v>
      </c>
      <c r="C700" t="s">
        <v>28</v>
      </c>
      <c r="D700" s="1">
        <v>45778</v>
      </c>
      <c r="E700">
        <v>72000</v>
      </c>
    </row>
    <row r="701" spans="1:5" x14ac:dyDescent="0.35">
      <c r="A701" t="s">
        <v>29</v>
      </c>
      <c r="B701" t="s">
        <v>46</v>
      </c>
      <c r="C701" t="s">
        <v>65</v>
      </c>
      <c r="D701" s="1">
        <v>45658</v>
      </c>
      <c r="E701">
        <v>36000</v>
      </c>
    </row>
    <row r="702" spans="1:5" x14ac:dyDescent="0.35">
      <c r="A702" t="s">
        <v>19</v>
      </c>
      <c r="B702" t="s">
        <v>20</v>
      </c>
      <c r="C702" t="s">
        <v>7</v>
      </c>
      <c r="D702" s="1">
        <v>45901</v>
      </c>
      <c r="E702">
        <v>30000</v>
      </c>
    </row>
    <row r="703" spans="1:5" x14ac:dyDescent="0.35">
      <c r="A703" t="s">
        <v>48</v>
      </c>
      <c r="B703" t="s">
        <v>49</v>
      </c>
      <c r="C703" t="s">
        <v>21</v>
      </c>
      <c r="D703" s="1">
        <v>45839</v>
      </c>
      <c r="E703">
        <v>11000</v>
      </c>
    </row>
    <row r="704" spans="1:5" x14ac:dyDescent="0.35">
      <c r="A704" t="s">
        <v>57</v>
      </c>
      <c r="B704" t="s">
        <v>58</v>
      </c>
      <c r="C704" t="s">
        <v>28</v>
      </c>
      <c r="D704" s="1">
        <v>45962</v>
      </c>
      <c r="E704">
        <v>52000</v>
      </c>
    </row>
    <row r="705" spans="1:5" x14ac:dyDescent="0.35">
      <c r="A705" t="s">
        <v>74</v>
      </c>
      <c r="B705" t="s">
        <v>75</v>
      </c>
      <c r="C705" t="s">
        <v>16</v>
      </c>
      <c r="D705" s="1">
        <v>45778</v>
      </c>
      <c r="E705">
        <v>155000</v>
      </c>
    </row>
    <row r="706" spans="1:5" x14ac:dyDescent="0.35">
      <c r="A706" t="s">
        <v>11</v>
      </c>
      <c r="B706" t="s">
        <v>59</v>
      </c>
      <c r="C706" t="s">
        <v>10</v>
      </c>
      <c r="D706" s="1">
        <v>45689</v>
      </c>
      <c r="E706">
        <v>39000</v>
      </c>
    </row>
    <row r="707" spans="1:5" x14ac:dyDescent="0.35">
      <c r="A707" t="s">
        <v>60</v>
      </c>
      <c r="B707" t="s">
        <v>61</v>
      </c>
      <c r="C707" t="s">
        <v>21</v>
      </c>
      <c r="D707" s="1">
        <v>45717</v>
      </c>
      <c r="E707">
        <v>18000</v>
      </c>
    </row>
    <row r="708" spans="1:5" x14ac:dyDescent="0.35">
      <c r="A708" t="s">
        <v>68</v>
      </c>
      <c r="B708" t="s">
        <v>69</v>
      </c>
      <c r="C708" t="s">
        <v>28</v>
      </c>
      <c r="D708" s="1">
        <v>45992</v>
      </c>
      <c r="E708">
        <v>40000</v>
      </c>
    </row>
    <row r="709" spans="1:5" x14ac:dyDescent="0.35">
      <c r="A709" t="s">
        <v>33</v>
      </c>
      <c r="B709" t="s">
        <v>34</v>
      </c>
      <c r="C709" t="s">
        <v>65</v>
      </c>
      <c r="D709" s="1">
        <v>45809</v>
      </c>
      <c r="E709">
        <v>17000</v>
      </c>
    </row>
    <row r="710" spans="1:5" x14ac:dyDescent="0.35">
      <c r="A710" t="s">
        <v>37</v>
      </c>
      <c r="B710" t="s">
        <v>38</v>
      </c>
      <c r="C710" t="s">
        <v>10</v>
      </c>
      <c r="D710" s="1">
        <v>45870</v>
      </c>
      <c r="E710">
        <v>19000</v>
      </c>
    </row>
    <row r="711" spans="1:5" x14ac:dyDescent="0.35">
      <c r="A711" t="s">
        <v>84</v>
      </c>
      <c r="B711" t="s">
        <v>85</v>
      </c>
      <c r="C711" t="s">
        <v>16</v>
      </c>
      <c r="D711" s="1">
        <v>45901</v>
      </c>
      <c r="E711">
        <v>44000</v>
      </c>
    </row>
    <row r="712" spans="1:5" x14ac:dyDescent="0.35">
      <c r="A712" t="s">
        <v>5</v>
      </c>
      <c r="B712" t="s">
        <v>6</v>
      </c>
      <c r="C712" t="s">
        <v>28</v>
      </c>
      <c r="D712" s="1">
        <v>45809</v>
      </c>
      <c r="E712">
        <v>85000</v>
      </c>
    </row>
    <row r="713" spans="1:5" x14ac:dyDescent="0.35">
      <c r="A713" t="s">
        <v>8</v>
      </c>
      <c r="B713" t="s">
        <v>9</v>
      </c>
      <c r="C713" t="s">
        <v>21</v>
      </c>
      <c r="D713" s="1">
        <v>45931</v>
      </c>
      <c r="E713">
        <v>17000</v>
      </c>
    </row>
    <row r="714" spans="1:5" x14ac:dyDescent="0.35">
      <c r="A714" t="s">
        <v>26</v>
      </c>
      <c r="B714" t="s">
        <v>27</v>
      </c>
      <c r="C714" t="s">
        <v>10</v>
      </c>
      <c r="D714" s="1">
        <v>45962</v>
      </c>
      <c r="E714">
        <v>25000</v>
      </c>
    </row>
    <row r="715" spans="1:5" x14ac:dyDescent="0.35">
      <c r="A715" t="s">
        <v>43</v>
      </c>
      <c r="B715" t="s">
        <v>44</v>
      </c>
      <c r="C715" t="s">
        <v>7</v>
      </c>
      <c r="D715" s="1">
        <v>45839</v>
      </c>
      <c r="E715">
        <v>22000</v>
      </c>
    </row>
    <row r="716" spans="1:5" x14ac:dyDescent="0.35">
      <c r="A716" t="s">
        <v>78</v>
      </c>
      <c r="B716" t="s">
        <v>79</v>
      </c>
      <c r="C716" t="s">
        <v>16</v>
      </c>
      <c r="D716" s="1">
        <v>45839</v>
      </c>
      <c r="E716">
        <v>49000</v>
      </c>
    </row>
    <row r="717" spans="1:5" x14ac:dyDescent="0.35">
      <c r="A717" t="s">
        <v>22</v>
      </c>
      <c r="B717" t="s">
        <v>23</v>
      </c>
      <c r="C717" t="s">
        <v>10</v>
      </c>
      <c r="D717" s="1">
        <v>45870</v>
      </c>
      <c r="E717">
        <v>15000</v>
      </c>
    </row>
    <row r="718" spans="1:5" x14ac:dyDescent="0.35">
      <c r="A718" t="s">
        <v>48</v>
      </c>
      <c r="B718" t="s">
        <v>49</v>
      </c>
      <c r="C718" t="s">
        <v>7</v>
      </c>
      <c r="D718" s="1">
        <v>45992</v>
      </c>
      <c r="E718">
        <v>26000</v>
      </c>
    </row>
    <row r="719" spans="1:5" x14ac:dyDescent="0.35">
      <c r="A719" t="s">
        <v>53</v>
      </c>
      <c r="B719" t="s">
        <v>54</v>
      </c>
      <c r="C719" t="s">
        <v>10</v>
      </c>
      <c r="D719" s="1">
        <v>45778</v>
      </c>
      <c r="E719">
        <v>35000</v>
      </c>
    </row>
    <row r="720" spans="1:5" x14ac:dyDescent="0.35">
      <c r="A720" t="s">
        <v>41</v>
      </c>
      <c r="B720" t="s">
        <v>120</v>
      </c>
      <c r="C720" t="s">
        <v>16</v>
      </c>
      <c r="D720" s="1">
        <v>45658</v>
      </c>
      <c r="E720">
        <v>89000</v>
      </c>
    </row>
    <row r="721" spans="1:5" x14ac:dyDescent="0.35">
      <c r="A721" t="s">
        <v>60</v>
      </c>
      <c r="B721" t="s">
        <v>61</v>
      </c>
      <c r="C721" t="s">
        <v>16</v>
      </c>
      <c r="D721" s="1">
        <v>45748</v>
      </c>
      <c r="E721">
        <v>35000</v>
      </c>
    </row>
    <row r="722" spans="1:5" x14ac:dyDescent="0.35">
      <c r="A722" t="s">
        <v>48</v>
      </c>
      <c r="B722" t="s">
        <v>49</v>
      </c>
      <c r="C722" t="s">
        <v>28</v>
      </c>
      <c r="D722" s="1">
        <v>45901</v>
      </c>
      <c r="E722">
        <v>112000</v>
      </c>
    </row>
    <row r="723" spans="1:5" x14ac:dyDescent="0.35">
      <c r="A723" t="s">
        <v>11</v>
      </c>
      <c r="B723" t="s">
        <v>59</v>
      </c>
      <c r="C723" t="s">
        <v>10</v>
      </c>
      <c r="D723" s="1">
        <v>45717</v>
      </c>
      <c r="E723">
        <v>39000</v>
      </c>
    </row>
    <row r="724" spans="1:5" x14ac:dyDescent="0.35">
      <c r="A724" t="s">
        <v>24</v>
      </c>
      <c r="B724" t="s">
        <v>45</v>
      </c>
      <c r="C724" t="s">
        <v>21</v>
      </c>
      <c r="D724" s="1">
        <v>45901</v>
      </c>
      <c r="E724">
        <v>22000</v>
      </c>
    </row>
    <row r="725" spans="1:5" x14ac:dyDescent="0.35">
      <c r="A725" t="s">
        <v>19</v>
      </c>
      <c r="B725" t="s">
        <v>20</v>
      </c>
      <c r="C725" t="s">
        <v>16</v>
      </c>
      <c r="D725" s="1">
        <v>45931</v>
      </c>
      <c r="E725">
        <v>90000</v>
      </c>
    </row>
    <row r="726" spans="1:5" x14ac:dyDescent="0.35">
      <c r="A726" t="s">
        <v>70</v>
      </c>
      <c r="B726" t="s">
        <v>71</v>
      </c>
      <c r="C726" t="s">
        <v>21</v>
      </c>
      <c r="D726" s="1">
        <v>45901</v>
      </c>
      <c r="E726">
        <v>9000</v>
      </c>
    </row>
    <row r="727" spans="1:5" x14ac:dyDescent="0.35">
      <c r="A727" t="s">
        <v>24</v>
      </c>
      <c r="B727" t="s">
        <v>45</v>
      </c>
      <c r="C727" t="s">
        <v>16</v>
      </c>
      <c r="D727" s="1">
        <v>45748</v>
      </c>
      <c r="E727">
        <v>100000</v>
      </c>
    </row>
    <row r="728" spans="1:5" x14ac:dyDescent="0.35">
      <c r="A728" t="s">
        <v>41</v>
      </c>
      <c r="B728" t="s">
        <v>42</v>
      </c>
      <c r="C728" t="s">
        <v>28</v>
      </c>
      <c r="D728" s="1">
        <v>45809</v>
      </c>
      <c r="E728">
        <v>102000</v>
      </c>
    </row>
    <row r="729" spans="1:5" x14ac:dyDescent="0.35">
      <c r="A729" t="s">
        <v>43</v>
      </c>
      <c r="B729" t="s">
        <v>44</v>
      </c>
      <c r="C729" t="s">
        <v>10</v>
      </c>
      <c r="D729" s="1">
        <v>45809</v>
      </c>
      <c r="E729">
        <v>22000</v>
      </c>
    </row>
    <row r="730" spans="1:5" x14ac:dyDescent="0.35">
      <c r="A730" t="s">
        <v>19</v>
      </c>
      <c r="B730" t="s">
        <v>77</v>
      </c>
      <c r="C730" t="s">
        <v>28</v>
      </c>
      <c r="D730" s="1">
        <v>45748</v>
      </c>
      <c r="E730">
        <v>79000</v>
      </c>
    </row>
    <row r="731" spans="1:5" x14ac:dyDescent="0.35">
      <c r="A731" t="s">
        <v>39</v>
      </c>
      <c r="B731" t="s">
        <v>40</v>
      </c>
      <c r="C731" t="s">
        <v>28</v>
      </c>
      <c r="D731" s="1">
        <v>45689</v>
      </c>
      <c r="E731">
        <v>60000</v>
      </c>
    </row>
    <row r="732" spans="1:5" x14ac:dyDescent="0.35">
      <c r="A732" t="s">
        <v>11</v>
      </c>
      <c r="B732" t="s">
        <v>59</v>
      </c>
      <c r="C732" t="s">
        <v>7</v>
      </c>
      <c r="D732" s="1">
        <v>45748</v>
      </c>
      <c r="E732">
        <v>39000</v>
      </c>
    </row>
    <row r="733" spans="1:5" x14ac:dyDescent="0.35">
      <c r="A733" t="s">
        <v>29</v>
      </c>
      <c r="B733" t="s">
        <v>30</v>
      </c>
      <c r="C733" t="s">
        <v>28</v>
      </c>
      <c r="D733" s="1">
        <v>45717</v>
      </c>
      <c r="E733">
        <v>60000</v>
      </c>
    </row>
    <row r="734" spans="1:5" x14ac:dyDescent="0.35">
      <c r="A734" t="s">
        <v>57</v>
      </c>
      <c r="B734" t="s">
        <v>58</v>
      </c>
      <c r="C734" t="s">
        <v>16</v>
      </c>
      <c r="D734" s="1">
        <v>45809</v>
      </c>
      <c r="E734">
        <v>52000</v>
      </c>
    </row>
    <row r="735" spans="1:5" x14ac:dyDescent="0.35">
      <c r="A735" t="s">
        <v>48</v>
      </c>
      <c r="B735" t="s">
        <v>49</v>
      </c>
      <c r="C735" t="s">
        <v>28</v>
      </c>
      <c r="D735" s="1">
        <v>45992</v>
      </c>
      <c r="E735">
        <v>112000</v>
      </c>
    </row>
    <row r="736" spans="1:5" x14ac:dyDescent="0.35">
      <c r="A736" t="s">
        <v>74</v>
      </c>
      <c r="B736" t="s">
        <v>75</v>
      </c>
      <c r="C736" t="s">
        <v>28</v>
      </c>
      <c r="D736" s="1">
        <v>45658</v>
      </c>
      <c r="E736" t="s">
        <v>124</v>
      </c>
    </row>
    <row r="737" spans="1:5" x14ac:dyDescent="0.35">
      <c r="A737" t="s">
        <v>8</v>
      </c>
      <c r="B737" t="s">
        <v>9</v>
      </c>
      <c r="C737" t="s">
        <v>16</v>
      </c>
      <c r="D737" s="1">
        <v>45870</v>
      </c>
      <c r="E737">
        <v>70000</v>
      </c>
    </row>
    <row r="738" spans="1:5" x14ac:dyDescent="0.35">
      <c r="A738" t="s">
        <v>51</v>
      </c>
      <c r="B738" t="s">
        <v>52</v>
      </c>
      <c r="C738" t="s">
        <v>10</v>
      </c>
      <c r="D738" s="1">
        <v>45627</v>
      </c>
      <c r="E738">
        <v>27000</v>
      </c>
    </row>
    <row r="739" spans="1:5" x14ac:dyDescent="0.35">
      <c r="A739" t="s">
        <v>87</v>
      </c>
      <c r="B739" t="s">
        <v>88</v>
      </c>
      <c r="C739" t="s">
        <v>16</v>
      </c>
      <c r="D739" s="1">
        <v>45778</v>
      </c>
      <c r="E739">
        <v>73000</v>
      </c>
    </row>
    <row r="740" spans="1:5" x14ac:dyDescent="0.35">
      <c r="A740" t="s">
        <v>78</v>
      </c>
      <c r="B740" t="s">
        <v>79</v>
      </c>
      <c r="C740" t="s">
        <v>16</v>
      </c>
      <c r="D740" s="1">
        <v>45658</v>
      </c>
      <c r="E740">
        <v>49000</v>
      </c>
    </row>
    <row r="741" spans="1:5" x14ac:dyDescent="0.35">
      <c r="A741" t="s">
        <v>8</v>
      </c>
      <c r="B741" t="s">
        <v>9</v>
      </c>
      <c r="C741" t="s">
        <v>50</v>
      </c>
      <c r="D741" s="1">
        <v>45901</v>
      </c>
      <c r="E741">
        <v>17000</v>
      </c>
    </row>
    <row r="742" spans="1:5" x14ac:dyDescent="0.35">
      <c r="A742" t="s">
        <v>72</v>
      </c>
      <c r="B742" t="s">
        <v>73</v>
      </c>
      <c r="C742" t="s">
        <v>28</v>
      </c>
      <c r="D742" s="1">
        <v>45870</v>
      </c>
      <c r="E742">
        <v>117000</v>
      </c>
    </row>
    <row r="743" spans="1:5" x14ac:dyDescent="0.35">
      <c r="A743" t="s">
        <v>39</v>
      </c>
      <c r="B743" t="s">
        <v>40</v>
      </c>
      <c r="C743" t="s">
        <v>21</v>
      </c>
      <c r="D743" s="1">
        <v>45870</v>
      </c>
      <c r="E743">
        <v>19000</v>
      </c>
    </row>
    <row r="744" spans="1:5" x14ac:dyDescent="0.35">
      <c r="A744" t="s">
        <v>24</v>
      </c>
      <c r="B744" t="s">
        <v>45</v>
      </c>
      <c r="C744" t="s">
        <v>65</v>
      </c>
      <c r="D744" s="1">
        <v>45658</v>
      </c>
      <c r="E744">
        <v>31000</v>
      </c>
    </row>
    <row r="745" spans="1:5" x14ac:dyDescent="0.35">
      <c r="A745" t="s">
        <v>91</v>
      </c>
      <c r="B745" t="s">
        <v>92</v>
      </c>
      <c r="C745" t="s">
        <v>28</v>
      </c>
      <c r="D745" s="1">
        <v>45717</v>
      </c>
      <c r="E745">
        <v>90000</v>
      </c>
    </row>
    <row r="746" spans="1:5" x14ac:dyDescent="0.35">
      <c r="A746" t="s">
        <v>91</v>
      </c>
      <c r="B746" t="s">
        <v>92</v>
      </c>
      <c r="C746" t="s">
        <v>50</v>
      </c>
      <c r="D746" s="1">
        <v>45992</v>
      </c>
      <c r="E746">
        <v>23000</v>
      </c>
    </row>
    <row r="747" spans="1:5" x14ac:dyDescent="0.35">
      <c r="A747" t="s">
        <v>48</v>
      </c>
      <c r="B747" t="s">
        <v>49</v>
      </c>
      <c r="C747" t="s">
        <v>7</v>
      </c>
      <c r="D747" s="1">
        <v>45931</v>
      </c>
      <c r="E747">
        <v>26000</v>
      </c>
    </row>
    <row r="748" spans="1:5" x14ac:dyDescent="0.35">
      <c r="A748" t="s">
        <v>39</v>
      </c>
      <c r="B748" t="s">
        <v>40</v>
      </c>
      <c r="C748" t="s">
        <v>28</v>
      </c>
      <c r="D748" s="1">
        <v>45839</v>
      </c>
      <c r="E748">
        <v>60000</v>
      </c>
    </row>
    <row r="749" spans="1:5" x14ac:dyDescent="0.35">
      <c r="A749" t="s">
        <v>11</v>
      </c>
      <c r="B749" t="s">
        <v>59</v>
      </c>
      <c r="C749" t="s">
        <v>28</v>
      </c>
      <c r="D749" s="1">
        <v>45839</v>
      </c>
      <c r="E749">
        <v>118000</v>
      </c>
    </row>
    <row r="750" spans="1:5" x14ac:dyDescent="0.35">
      <c r="A750" t="s">
        <v>37</v>
      </c>
      <c r="B750" t="s">
        <v>38</v>
      </c>
      <c r="C750" t="s">
        <v>28</v>
      </c>
      <c r="D750" s="1">
        <v>45931</v>
      </c>
      <c r="E750">
        <v>88000</v>
      </c>
    </row>
    <row r="751" spans="1:5" x14ac:dyDescent="0.35">
      <c r="A751" t="s">
        <v>22</v>
      </c>
      <c r="B751" t="s">
        <v>23</v>
      </c>
      <c r="C751" t="s">
        <v>10</v>
      </c>
      <c r="D751" s="1">
        <v>45931</v>
      </c>
      <c r="E751">
        <v>15000</v>
      </c>
    </row>
    <row r="752" spans="1:5" x14ac:dyDescent="0.35">
      <c r="A752" t="s">
        <v>70</v>
      </c>
      <c r="B752" t="s">
        <v>71</v>
      </c>
      <c r="C752" t="s">
        <v>10</v>
      </c>
      <c r="D752" s="1">
        <v>45870</v>
      </c>
      <c r="E752">
        <v>27000</v>
      </c>
    </row>
    <row r="753" spans="1:5" x14ac:dyDescent="0.35">
      <c r="A753" t="s">
        <v>31</v>
      </c>
      <c r="B753" t="s">
        <v>32</v>
      </c>
      <c r="C753" t="s">
        <v>16</v>
      </c>
      <c r="D753" s="1">
        <v>45748</v>
      </c>
      <c r="E753">
        <v>77000</v>
      </c>
    </row>
    <row r="754" spans="1:5" x14ac:dyDescent="0.35">
      <c r="A754" t="s">
        <v>43</v>
      </c>
      <c r="B754" t="s">
        <v>44</v>
      </c>
      <c r="C754" t="s">
        <v>16</v>
      </c>
      <c r="D754" s="1">
        <v>45839</v>
      </c>
      <c r="E754">
        <v>70000</v>
      </c>
    </row>
    <row r="755" spans="1:5" x14ac:dyDescent="0.35">
      <c r="A755" t="s">
        <v>17</v>
      </c>
      <c r="B755" t="s">
        <v>18</v>
      </c>
      <c r="C755" t="s">
        <v>28</v>
      </c>
      <c r="D755" s="1">
        <v>45962</v>
      </c>
      <c r="E755">
        <v>90000</v>
      </c>
    </row>
    <row r="756" spans="1:5" x14ac:dyDescent="0.35">
      <c r="A756" t="s">
        <v>78</v>
      </c>
      <c r="B756" t="s">
        <v>79</v>
      </c>
      <c r="C756" t="s">
        <v>16</v>
      </c>
      <c r="D756" s="1">
        <v>45748</v>
      </c>
      <c r="E756">
        <v>49000</v>
      </c>
    </row>
    <row r="757" spans="1:5" x14ac:dyDescent="0.35">
      <c r="A757" t="s">
        <v>91</v>
      </c>
      <c r="B757" t="s">
        <v>92</v>
      </c>
      <c r="C757" t="s">
        <v>21</v>
      </c>
      <c r="D757" s="1">
        <v>45931</v>
      </c>
      <c r="E757">
        <v>19000</v>
      </c>
    </row>
    <row r="758" spans="1:5" x14ac:dyDescent="0.35">
      <c r="A758" t="s">
        <v>41</v>
      </c>
      <c r="B758" t="s">
        <v>42</v>
      </c>
      <c r="C758" t="s">
        <v>21</v>
      </c>
      <c r="D758" s="1">
        <v>45901</v>
      </c>
      <c r="E758">
        <v>22000</v>
      </c>
    </row>
    <row r="759" spans="1:5" x14ac:dyDescent="0.35">
      <c r="A759" t="s">
        <v>62</v>
      </c>
      <c r="B759" t="s">
        <v>63</v>
      </c>
      <c r="C759" t="s">
        <v>28</v>
      </c>
      <c r="D759" s="1">
        <v>45931</v>
      </c>
      <c r="E759">
        <v>36000</v>
      </c>
    </row>
    <row r="760" spans="1:5" x14ac:dyDescent="0.35">
      <c r="A760" t="s">
        <v>60</v>
      </c>
      <c r="B760" t="s">
        <v>61</v>
      </c>
      <c r="C760" t="s">
        <v>7</v>
      </c>
      <c r="D760" s="1">
        <v>45748</v>
      </c>
      <c r="E760">
        <v>23000</v>
      </c>
    </row>
    <row r="761" spans="1:5" x14ac:dyDescent="0.35">
      <c r="A761" t="s">
        <v>62</v>
      </c>
      <c r="B761" t="s">
        <v>63</v>
      </c>
      <c r="C761" t="s">
        <v>16</v>
      </c>
      <c r="D761" s="1">
        <v>45748</v>
      </c>
      <c r="E761">
        <v>62000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8E8F-35AD-4CD9-8818-95100457B448}">
  <dimension ref="A1:F13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142</v>
      </c>
      <c r="B1" t="s">
        <v>141</v>
      </c>
      <c r="C1" t="s">
        <v>140</v>
      </c>
      <c r="D1" t="s">
        <v>139</v>
      </c>
      <c r="E1" t="s">
        <v>138</v>
      </c>
      <c r="F1" t="s">
        <v>137</v>
      </c>
    </row>
    <row r="2" spans="1:6" x14ac:dyDescent="0.35">
      <c r="A2" t="s">
        <v>136</v>
      </c>
      <c r="B2">
        <v>80</v>
      </c>
      <c r="C2">
        <v>28</v>
      </c>
      <c r="D2">
        <v>17</v>
      </c>
      <c r="E2">
        <v>5</v>
      </c>
      <c r="F2">
        <v>175000</v>
      </c>
    </row>
    <row r="3" spans="1:6" x14ac:dyDescent="0.35">
      <c r="A3" t="s">
        <v>135</v>
      </c>
      <c r="B3">
        <v>84</v>
      </c>
      <c r="C3">
        <v>29</v>
      </c>
      <c r="D3">
        <v>18</v>
      </c>
      <c r="E3">
        <v>5</v>
      </c>
      <c r="F3">
        <v>175000</v>
      </c>
    </row>
    <row r="4" spans="1:6" x14ac:dyDescent="0.35">
      <c r="A4" t="s">
        <v>134</v>
      </c>
      <c r="B4">
        <v>88</v>
      </c>
      <c r="C4">
        <v>31</v>
      </c>
      <c r="D4">
        <v>19</v>
      </c>
      <c r="E4">
        <v>5</v>
      </c>
      <c r="F4">
        <v>175000</v>
      </c>
    </row>
    <row r="5" spans="1:6" x14ac:dyDescent="0.35">
      <c r="A5" t="s">
        <v>133</v>
      </c>
      <c r="B5">
        <v>92</v>
      </c>
      <c r="C5">
        <v>32</v>
      </c>
      <c r="D5">
        <v>20</v>
      </c>
      <c r="E5">
        <v>6</v>
      </c>
      <c r="F5">
        <v>210000</v>
      </c>
    </row>
    <row r="6" spans="1:6" x14ac:dyDescent="0.35">
      <c r="A6" t="s">
        <v>132</v>
      </c>
      <c r="B6">
        <v>96</v>
      </c>
      <c r="C6">
        <v>34</v>
      </c>
      <c r="D6">
        <v>21</v>
      </c>
      <c r="E6">
        <v>6</v>
      </c>
      <c r="F6">
        <v>210000</v>
      </c>
    </row>
    <row r="7" spans="1:6" x14ac:dyDescent="0.35">
      <c r="A7" t="s">
        <v>131</v>
      </c>
      <c r="B7">
        <v>100</v>
      </c>
      <c r="C7">
        <v>35</v>
      </c>
      <c r="D7">
        <v>22</v>
      </c>
      <c r="E7">
        <v>6</v>
      </c>
      <c r="F7">
        <v>210000</v>
      </c>
    </row>
    <row r="8" spans="1:6" x14ac:dyDescent="0.35">
      <c r="A8" t="s">
        <v>130</v>
      </c>
      <c r="B8">
        <v>104</v>
      </c>
      <c r="C8">
        <v>36</v>
      </c>
      <c r="D8">
        <v>22</v>
      </c>
      <c r="E8">
        <v>6</v>
      </c>
      <c r="F8">
        <v>210000</v>
      </c>
    </row>
    <row r="9" spans="1:6" x14ac:dyDescent="0.35">
      <c r="A9" t="s">
        <v>129</v>
      </c>
      <c r="B9">
        <v>108</v>
      </c>
      <c r="C9">
        <v>38</v>
      </c>
      <c r="D9">
        <v>24</v>
      </c>
      <c r="E9">
        <v>7</v>
      </c>
      <c r="F9">
        <v>245000</v>
      </c>
    </row>
    <row r="10" spans="1:6" x14ac:dyDescent="0.35">
      <c r="A10" t="s">
        <v>128</v>
      </c>
      <c r="B10">
        <v>112</v>
      </c>
      <c r="C10">
        <v>39</v>
      </c>
      <c r="D10">
        <v>24</v>
      </c>
      <c r="E10">
        <v>7</v>
      </c>
      <c r="F10">
        <v>245000</v>
      </c>
    </row>
    <row r="11" spans="1:6" x14ac:dyDescent="0.35">
      <c r="A11" t="s">
        <v>127</v>
      </c>
      <c r="B11">
        <v>116</v>
      </c>
      <c r="C11">
        <v>41</v>
      </c>
      <c r="D11">
        <v>25</v>
      </c>
      <c r="E11">
        <v>7</v>
      </c>
      <c r="F11">
        <v>245000</v>
      </c>
    </row>
    <row r="12" spans="1:6" x14ac:dyDescent="0.35">
      <c r="A12" t="s">
        <v>126</v>
      </c>
      <c r="B12">
        <v>120</v>
      </c>
      <c r="C12">
        <v>42</v>
      </c>
      <c r="D12">
        <v>26</v>
      </c>
      <c r="E12">
        <v>7</v>
      </c>
      <c r="F12">
        <v>245000</v>
      </c>
    </row>
    <row r="13" spans="1:6" x14ac:dyDescent="0.35">
      <c r="A13" t="s">
        <v>125</v>
      </c>
      <c r="B13">
        <v>124</v>
      </c>
      <c r="C13">
        <v>43</v>
      </c>
      <c r="D13">
        <v>27</v>
      </c>
      <c r="E13">
        <v>8</v>
      </c>
      <c r="F13">
        <v>280000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D5B0-4C68-471C-A951-3F44C9009B4A}">
  <dimension ref="A1:F14"/>
  <sheetViews>
    <sheetView workbookViewId="0">
      <selection sqref="A1:G14"/>
    </sheetView>
  </sheetViews>
  <sheetFormatPr baseColWidth="10" defaultColWidth="8.7265625" defaultRowHeight="14.5" x14ac:dyDescent="0.35"/>
  <sheetData>
    <row r="1" spans="1:6" x14ac:dyDescent="0.35">
      <c r="A1" t="s">
        <v>158</v>
      </c>
      <c r="B1" t="s">
        <v>157</v>
      </c>
      <c r="C1" t="s">
        <v>156</v>
      </c>
      <c r="D1" t="s">
        <v>155</v>
      </c>
      <c r="E1" t="s">
        <v>138</v>
      </c>
      <c r="F1" t="s">
        <v>137</v>
      </c>
    </row>
    <row r="2" spans="1:6" x14ac:dyDescent="0.35">
      <c r="A2" t="s">
        <v>154</v>
      </c>
      <c r="B2">
        <v>86</v>
      </c>
      <c r="C2">
        <v>29</v>
      </c>
      <c r="D2">
        <v>19</v>
      </c>
      <c r="E2">
        <v>4</v>
      </c>
      <c r="F2">
        <v>160000</v>
      </c>
    </row>
    <row r="3" spans="1:6" x14ac:dyDescent="0.35">
      <c r="A3" t="s">
        <v>153</v>
      </c>
      <c r="B3">
        <v>88</v>
      </c>
      <c r="C3">
        <v>29</v>
      </c>
      <c r="D3">
        <v>17</v>
      </c>
      <c r="E3">
        <v>5</v>
      </c>
      <c r="F3">
        <v>164000</v>
      </c>
    </row>
    <row r="4" spans="1:6" x14ac:dyDescent="0.35">
      <c r="A4" t="s">
        <v>152</v>
      </c>
      <c r="B4">
        <v>820</v>
      </c>
      <c r="C4">
        <v>32</v>
      </c>
      <c r="D4">
        <v>22</v>
      </c>
      <c r="E4">
        <v>6</v>
      </c>
      <c r="F4">
        <v>206000</v>
      </c>
    </row>
    <row r="5" spans="1:6" x14ac:dyDescent="0.35">
      <c r="A5" t="s">
        <v>151</v>
      </c>
      <c r="B5">
        <v>84</v>
      </c>
      <c r="C5">
        <v>36</v>
      </c>
      <c r="D5">
        <v>21</v>
      </c>
      <c r="E5">
        <v>5</v>
      </c>
      <c r="F5">
        <v>150000</v>
      </c>
    </row>
    <row r="6" spans="1:6" x14ac:dyDescent="0.35">
      <c r="A6" t="s">
        <v>150</v>
      </c>
      <c r="B6">
        <v>92</v>
      </c>
      <c r="C6">
        <v>38</v>
      </c>
      <c r="D6">
        <v>18</v>
      </c>
      <c r="E6">
        <v>5</v>
      </c>
      <c r="F6">
        <v>210000</v>
      </c>
    </row>
    <row r="7" spans="1:6" x14ac:dyDescent="0.35">
      <c r="A7" t="s">
        <v>149</v>
      </c>
      <c r="B7">
        <v>90</v>
      </c>
      <c r="C7">
        <v>37</v>
      </c>
      <c r="D7">
        <v>21</v>
      </c>
      <c r="E7">
        <v>6</v>
      </c>
      <c r="F7">
        <v>190000</v>
      </c>
    </row>
    <row r="8" spans="1:6" x14ac:dyDescent="0.35">
      <c r="A8" t="s">
        <v>149</v>
      </c>
      <c r="B8">
        <v>90</v>
      </c>
      <c r="C8">
        <v>37</v>
      </c>
      <c r="D8">
        <v>21</v>
      </c>
      <c r="E8">
        <v>6</v>
      </c>
      <c r="F8">
        <v>190000</v>
      </c>
    </row>
    <row r="9" spans="1:6" x14ac:dyDescent="0.35">
      <c r="A9" t="s">
        <v>148</v>
      </c>
      <c r="B9">
        <v>98</v>
      </c>
      <c r="C9">
        <v>32</v>
      </c>
      <c r="D9">
        <v>20</v>
      </c>
      <c r="E9">
        <v>7</v>
      </c>
      <c r="F9">
        <v>270000</v>
      </c>
    </row>
    <row r="10" spans="1:6" x14ac:dyDescent="0.35">
      <c r="A10" t="s">
        <v>147</v>
      </c>
      <c r="B10">
        <v>100</v>
      </c>
      <c r="C10">
        <v>43</v>
      </c>
      <c r="E10">
        <v>6</v>
      </c>
      <c r="F10">
        <v>236000</v>
      </c>
    </row>
    <row r="11" spans="1:6" x14ac:dyDescent="0.35">
      <c r="A11" t="s">
        <v>146</v>
      </c>
      <c r="B11">
        <v>114</v>
      </c>
      <c r="C11">
        <v>41</v>
      </c>
      <c r="D11">
        <v>27</v>
      </c>
      <c r="E11">
        <v>7</v>
      </c>
      <c r="F11">
        <v>279000</v>
      </c>
    </row>
    <row r="12" spans="1:6" x14ac:dyDescent="0.35">
      <c r="A12" t="s">
        <v>145</v>
      </c>
      <c r="B12">
        <v>130</v>
      </c>
      <c r="C12">
        <v>39</v>
      </c>
      <c r="D12">
        <v>26</v>
      </c>
      <c r="E12">
        <v>7</v>
      </c>
      <c r="F12">
        <v>230000</v>
      </c>
    </row>
    <row r="13" spans="1:6" x14ac:dyDescent="0.35">
      <c r="A13" t="s">
        <v>144</v>
      </c>
      <c r="B13">
        <v>118</v>
      </c>
      <c r="C13">
        <v>38</v>
      </c>
      <c r="D13">
        <v>25</v>
      </c>
      <c r="E13">
        <v>8</v>
      </c>
      <c r="F13">
        <v>268000</v>
      </c>
    </row>
    <row r="14" spans="1:6" x14ac:dyDescent="0.35">
      <c r="A14" t="s">
        <v>143</v>
      </c>
      <c r="B14">
        <v>134</v>
      </c>
      <c r="C14">
        <v>48</v>
      </c>
      <c r="D14">
        <v>24</v>
      </c>
      <c r="E14">
        <v>8</v>
      </c>
      <c r="F14">
        <v>302000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Executive Summary</vt:lpstr>
      <vt:lpstr>ARR Snowball</vt:lpstr>
      <vt:lpstr>ARR by Product</vt:lpstr>
      <vt:lpstr>Customer ARR Matrix</vt:lpstr>
      <vt:lpstr>GTM Funnel</vt:lpstr>
      <vt:lpstr>Clean_ARR_Data</vt:lpstr>
      <vt:lpstr>Clean_Funnel_Data</vt:lpstr>
      <vt:lpstr>Raw_Data</vt:lpstr>
      <vt:lpstr>ARR_Data</vt:lpstr>
      <vt:lpstr>Targets</vt:lpstr>
      <vt:lpstr>Funnel_Actuals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Gutierrez</cp:lastModifiedBy>
  <dcterms:created xsi:type="dcterms:W3CDTF">2026-07-16T17:12:03Z</dcterms:created>
  <dcterms:modified xsi:type="dcterms:W3CDTF">2026-09-15T20:48:06Z</dcterms:modified>
</cp:coreProperties>
</file>
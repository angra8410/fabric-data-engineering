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mployment_QCEW_Master" sheetId="2" state="visible" r:id="rId2"/>
    <sheet name="Ref_Lookup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name val="Segoe UI"/>
      <b val="1"/>
      <color rgb="000F2942"/>
      <sz val="15"/>
    </font>
    <font>
      <name val="Segoe UI"/>
      <color rgb="00475569"/>
      <sz val="10.5"/>
    </font>
    <font>
      <name val="Segoe UI"/>
      <i val="1"/>
      <color rgb="0064748B"/>
      <sz val="9"/>
    </font>
    <font>
      <name val="Segoe UI"/>
      <b val="1"/>
      <color rgb="000F2942"/>
      <sz val="11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166534"/>
      <sz val="10.5"/>
    </font>
    <font>
      <name val="Segoe UI"/>
      <b val="1"/>
      <color rgb="001E40AF"/>
      <sz val="9.5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0F2942"/>
        <bgColor rgb="000F2942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6" borderId="1" applyAlignment="1" applyProtection="1" pivotButton="0" quotePrefix="0" xfId="0">
      <alignment horizontal="left" vertical="center" wrapText="1"/>
      <protection locked="1" hidden="1"/>
    </xf>
    <xf numFmtId="0" fontId="8" fillId="6" borderId="1" applyAlignment="1" applyProtection="1" pivotButton="0" quotePrefix="0" xfId="0">
      <alignment horizontal="left" vertical="center"/>
      <protection locked="1" hidden="1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3" fontId="6" fillId="0" borderId="1" applyAlignment="1" applyProtection="1" pivotButton="0" quotePrefix="0" xfId="0">
      <alignment horizontal="right" vertical="center"/>
      <protection locked="0" hidden="0"/>
    </xf>
    <xf numFmtId="3" fontId="5" fillId="0" borderId="1" applyAlignment="1" applyProtection="1" pivotButton="0" quotePrefix="0" xfId="0">
      <alignment horizontal="right" vertical="center"/>
      <protection locked="0" hidden="0"/>
    </xf>
    <xf numFmtId="164" fontId="9" fillId="7" borderId="1" applyAlignment="1" applyProtection="1" pivotButton="0" quotePrefix="0" xfId="0">
      <alignment horizontal="right" vertical="center"/>
      <protection locked="1" hidden="1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5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/>
      <protection locked="0" hidden="0"/>
    </xf>
    <xf numFmtId="0" fontId="5" fillId="3" borderId="1" applyAlignment="1" applyProtection="1" pivotButton="0" quotePrefix="0" xfId="0">
      <alignment horizontal="left" vertical="center"/>
      <protection locked="0" hidden="0"/>
    </xf>
    <xf numFmtId="3" fontId="6" fillId="3" borderId="1" applyAlignment="1" applyProtection="1" pivotButton="0" quotePrefix="0" xfId="0">
      <alignment horizontal="right" vertical="center"/>
      <protection locked="0" hidden="0"/>
    </xf>
    <xf numFmtId="3" fontId="5" fillId="3" borderId="1" applyAlignment="1" applyProtection="1" pivotButton="0" quotePrefix="0" xfId="0">
      <alignment horizontal="right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0" fontId="6" fillId="3" borderId="1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1" hidden="1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dxfs count="1">
    <dxf>
      <font>
        <name val="Segoe UI"/>
        <b val="1"/>
        <color rgb="00991B1B"/>
        <sz val="10.5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75" customWidth="1" min="4" max="4"/>
  </cols>
  <sheetData>
    <row r="2">
      <c r="B2" s="1" t="inlineStr">
        <is>
          <t>SCOG Regional Employment Monitoring Intake</t>
        </is>
      </c>
    </row>
    <row r="3">
      <c r="B3" s="2" t="inlineStr">
        <is>
          <t>Quarterly Census of Employment and Wages (QCEW) Annual Industry Trends</t>
        </is>
      </c>
    </row>
    <row r="4">
      <c r="B4" s="3" t="inlineStr">
        <is>
          <t>Official Skagit Council of Governments (SCOG) Standard Data Template</t>
        </is>
      </c>
    </row>
    <row r="6">
      <c r="B6" s="4" t="inlineStr">
        <is>
          <t>Standard Operating Procedure (SOP) for Annual Updates</t>
        </is>
      </c>
    </row>
    <row r="7" ht="28" customHeight="1">
      <c r="B7" s="5" t="inlineStr">
        <is>
          <t>Step 1</t>
        </is>
      </c>
      <c r="C7" s="6" t="inlineStr">
        <is>
          <t>ESD QCEW Annual Release</t>
        </is>
      </c>
      <c r="D7" s="7" t="inlineStr">
        <is>
          <t>Download annual average covered employment reports from Washington Employment Security Department (ESD).</t>
        </is>
      </c>
      <c r="E7" s="8" t="n"/>
      <c r="F7" s="8" t="n"/>
      <c r="G7" s="8" t="n"/>
      <c r="H7" s="9" t="n"/>
    </row>
    <row r="8" ht="28" customHeight="1">
      <c r="B8" s="5" t="inlineStr">
        <is>
          <t>Step 2</t>
        </is>
      </c>
      <c r="C8" s="6" t="inlineStr">
        <is>
          <t>Confirm Schema Validation</t>
        </is>
      </c>
      <c r="D8" s="7" t="inlineStr">
        <is>
          <t>Check Cell B5 to ensure columns have not been altered.</t>
        </is>
      </c>
      <c r="E8" s="8" t="n"/>
      <c r="F8" s="8" t="n"/>
      <c r="G8" s="8" t="n"/>
      <c r="H8" s="9" t="n"/>
    </row>
    <row r="9" ht="28" customHeight="1">
      <c r="B9" s="5" t="inlineStr">
        <is>
          <t>Step 3</t>
        </is>
      </c>
      <c r="C9" s="6" t="inlineStr">
        <is>
          <t>Subsector Standardization</t>
        </is>
      </c>
      <c r="D9" s="7" t="inlineStr">
        <is>
          <t>Classify rows by 2-digit major sector and 3-digit NAICS subsector.</t>
        </is>
      </c>
      <c r="E9" s="8" t="n"/>
      <c r="F9" s="8" t="n"/>
      <c r="G9" s="8" t="n"/>
      <c r="H9" s="9" t="n"/>
    </row>
    <row r="10" ht="28" customHeight="1">
      <c r="B10" s="5" t="inlineStr">
        <is>
          <t>Step 4</t>
        </is>
      </c>
      <c r="C10" s="6" t="inlineStr">
        <is>
          <t>Confidentiality Flags</t>
        </is>
      </c>
      <c r="D10" s="7" t="inlineStr">
        <is>
          <t>Where data is suppressed by ESD to protect employer privacy (denoted by '*'), enter 0 or leave blank and note in Remarks.</t>
        </is>
      </c>
      <c r="E10" s="8" t="n"/>
      <c r="F10" s="8" t="n"/>
      <c r="G10" s="8" t="n"/>
      <c r="H10" s="9" t="n"/>
    </row>
    <row r="11" ht="28" customHeight="1">
      <c r="B11" s="5" t="inlineStr">
        <is>
          <t>Step 5</t>
        </is>
      </c>
      <c r="C11" s="6" t="inlineStr">
        <is>
          <t>Publish to SharePoint</t>
        </is>
      </c>
      <c r="D11" s="7" t="inlineStr">
        <is>
          <t>Save workbook to SharePoint Online.</t>
        </is>
      </c>
      <c r="E11" s="8" t="n"/>
      <c r="F11" s="8" t="n"/>
      <c r="G11" s="8" t="n"/>
      <c r="H11" s="9" t="n"/>
    </row>
  </sheetData>
  <mergeCells count="6">
    <mergeCell ref="D7:H7"/>
    <mergeCell ref="D8:H8"/>
    <mergeCell ref="D10:H10"/>
    <mergeCell ref="D11:H11"/>
    <mergeCell ref="B6:H6"/>
    <mergeCell ref="D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5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5" customWidth="1" min="3" max="3"/>
    <col width="18" customWidth="1" min="4" max="4"/>
    <col width="18" customWidth="1" min="5" max="5"/>
    <col width="44" customWidth="1" min="6" max="6"/>
    <col width="22" customWidth="1" min="7" max="7"/>
    <col width="25" customWidth="1" min="8" max="8"/>
    <col width="16" customWidth="1" min="9" max="9"/>
    <col width="16" customWidth="1" min="10" max="10"/>
    <col width="16" customWidth="1" min="11" max="11"/>
    <col width="16" customWidth="1" min="12" max="12"/>
    <col width="22" customWidth="1" min="13" max="13"/>
    <col width="22" customWidth="1" min="14" max="14"/>
  </cols>
  <sheetData>
    <row r="2">
      <c r="B2" s="1" t="inlineStr">
        <is>
          <t>SCOG Annual Growth Monitoring Report — Master Employment Data</t>
        </is>
      </c>
    </row>
    <row r="3">
      <c r="B3" s="2" t="inlineStr">
        <is>
          <t>Skagit County Covered Employment and Business Establishment Trends (ESD / QCEW)</t>
        </is>
      </c>
    </row>
    <row r="5" ht="38" customHeight="1">
      <c r="B5" s="10">
        <f>IF(_xlfn.TEXTJOIN("|",TRUE,B8:N8)=Ref_Lookup!$D$2, "✔ SCHEMA VALID: Columns Match Official Specification", "❌ SCHEMA ERROR: Column(s) altered: " &amp; _xlfn.TEXTJOIN(", ", TRUE, IF(ISBLANK(B8), "'" &amp; Ref_Lookup!$C$2 &amp; "' [blank]", IF(B8&lt;&gt;Ref_Lookup!$C$2, "'" &amp; Ref_Lookup!$C$2 &amp; "' [found: '" &amp; B8 &amp; "']", "")), IF(ISBLANK(C8), "'" &amp; Ref_Lookup!$C$3 &amp; "' [blank]", IF(C8&lt;&gt;Ref_Lookup!$C$3, "'" &amp; Ref_Lookup!$C$3 &amp; "' [found: '" &amp; C8 &amp; "']", "")), IF(ISBLANK(D8), "'" &amp; Ref_Lookup!$C$4 &amp; "' [blank]", IF(D8&lt;&gt;Ref_Lookup!$C$4, "'" &amp; Ref_Lookup!$C$4 &amp; "' [found: '" &amp; D8 &amp; "']", "")), IF(ISBLANK(E8), "'" &amp; Ref_Lookup!$C$5 &amp; "' [blank]", IF(E8&lt;&gt;Ref_Lookup!$C$5, "'" &amp; Ref_Lookup!$C$5 &amp; "' [found: '" &amp; E8 &amp; "']", "")), IF(ISBLANK(F8), "'" &amp; Ref_Lookup!$C$6 &amp; "' [blank]", IF(F8&lt;&gt;Ref_Lookup!$C$6, "'" &amp; Ref_Lookup!$C$6 &amp; "' [found: '" &amp; F8 &amp; "']", "")), IF(ISBLANK(G8), "'" &amp; Ref_Lookup!$C$7 &amp; "' [blank]", IF(G8&lt;&gt;Ref_Lookup!$C$7, "'" &amp; Ref_Lookup!$C$7 &amp; "' [found: '" &amp; G8 &amp; "']", "")), IF(ISBLANK(H8), "'" &amp; Ref_Lookup!$C$8 &amp; "' [blank]", IF(H8&lt;&gt;Ref_Lookup!$C$8, "'" &amp; Ref_Lookup!$C$8 &amp; "' [found: '" &amp; H8 &amp; "']", "")), IF(ISBLANK(I8), "'" &amp; Ref_Lookup!$C$9 &amp; "' [blank]", IF(I8&lt;&gt;Ref_Lookup!$C$9, "'" &amp; Ref_Lookup!$C$9 &amp; "' [found: '" &amp; I8 &amp; "']", "")), IF(ISBLANK(J8), "'" &amp; Ref_Lookup!$C$10 &amp; "' [blank]", IF(J8&lt;&gt;Ref_Lookup!$C$10, "'" &amp; Ref_Lookup!$C$10 &amp; "' [found: '" &amp; J8 &amp; "']", "")), IF(ISBLANK(K8), "'" &amp; Ref_Lookup!$C$11 &amp; "' [blank]", IF(K8&lt;&gt;Ref_Lookup!$C$11, "'" &amp; Ref_Lookup!$C$11 &amp; "' [found: '" &amp; K8 &amp; "']", "")), IF(ISBLANK(L8), "'" &amp; Ref_Lookup!$C$12 &amp; "' [blank]", IF(L8&lt;&gt;Ref_Lookup!$C$12, "'" &amp; Ref_Lookup!$C$12 &amp; "' [found: '" &amp; L8 &amp; "']", "")), IF(ISBLANK(M8), "'" &amp; Ref_Lookup!$C$13 &amp; "' [blank]", IF(M8&lt;&gt;Ref_Lookup!$C$13, "'" &amp; Ref_Lookup!$C$13 &amp; "' [found: '" &amp; M8 &amp; "']", "")), IF(ISBLANK(N8), "'" &amp; Ref_Lookup!$C$14 &amp; "' [blank]", IF(N8&lt;&gt;Ref_Lookup!$C$14, "'" &amp; Ref_Lookup!$C$14 &amp; "' [found: '" &amp; N8 &amp; "']", ""))))</f>
        <v/>
      </c>
    </row>
    <row r="6" ht="24" customHeight="1">
      <c r="B6" s="11">
        <f>IF(SUM(G9:G50)&gt;0,"✔ INTEGRITY CHECK: Total Covered Employment Verified","⚠ INTEGRITY WARNING: Employment counts missing!")</f>
        <v/>
      </c>
    </row>
    <row r="7" ht="10" customHeight="1"/>
    <row r="8" ht="28" customHeight="1">
      <c r="B8" s="12" t="inlineStr">
        <is>
          <t>Record_ID</t>
        </is>
      </c>
      <c r="C8" s="12" t="inlineStr">
        <is>
          <t>Calendar_Year</t>
        </is>
      </c>
      <c r="D8" s="12" t="inlineStr">
        <is>
          <t>NAICS_2Digit_Code</t>
        </is>
      </c>
      <c r="E8" s="12" t="inlineStr">
        <is>
          <t>NAICS_3Digit_Code</t>
        </is>
      </c>
      <c r="F8" s="12" t="inlineStr">
        <is>
          <t>Industry_Subsector_Title</t>
        </is>
      </c>
      <c r="G8" s="12" t="inlineStr">
        <is>
          <t>Average_Establishments</t>
        </is>
      </c>
      <c r="H8" s="12" t="inlineStr">
        <is>
          <t>Annual_Average_Employment</t>
        </is>
      </c>
      <c r="I8" s="12" t="inlineStr">
        <is>
          <t>Q1_Employment</t>
        </is>
      </c>
      <c r="J8" s="12" t="inlineStr">
        <is>
          <t>Q2_Employment</t>
        </is>
      </c>
      <c r="K8" s="12" t="inlineStr">
        <is>
          <t>Q3_Employment</t>
        </is>
      </c>
      <c r="L8" s="12" t="inlineStr">
        <is>
          <t>Q4_Employment</t>
        </is>
      </c>
      <c r="M8" s="12" t="inlineStr">
        <is>
          <t>YoY_Employment_Change</t>
        </is>
      </c>
      <c r="N8" s="12" t="inlineStr">
        <is>
          <t>Data_Release_Status</t>
        </is>
      </c>
    </row>
    <row r="9" ht="21" customHeight="1">
      <c r="B9" s="13" t="inlineStr">
        <is>
          <t>EMP-2025-001</t>
        </is>
      </c>
      <c r="C9" s="14" t="n">
        <v>2025</v>
      </c>
      <c r="D9" s="13" t="inlineStr">
        <is>
          <t>TOTAL</t>
        </is>
      </c>
      <c r="E9" s="14" t="inlineStr"/>
      <c r="F9" s="15" t="inlineStr">
        <is>
          <t>Total Covered Employment (All Industries)</t>
        </is>
      </c>
      <c r="G9" s="16" t="n">
        <v>3663</v>
      </c>
      <c r="H9" s="17" t="n">
        <v>53850</v>
      </c>
      <c r="I9" s="16" t="n">
        <v>52930</v>
      </c>
      <c r="J9" s="16" t="n">
        <v>54510</v>
      </c>
      <c r="K9" s="16" t="n">
        <v>54220</v>
      </c>
      <c r="L9" s="16" t="n">
        <v>53740</v>
      </c>
      <c r="M9" s="18" t="n">
        <v>0</v>
      </c>
      <c r="N9" s="19" t="inlineStr">
        <is>
          <t>Official Revised</t>
        </is>
      </c>
    </row>
    <row r="10" ht="21" customHeight="1">
      <c r="B10" s="20" t="inlineStr">
        <is>
          <t>EMP-2025-002</t>
        </is>
      </c>
      <c r="C10" s="21" t="n">
        <v>2025</v>
      </c>
      <c r="D10" s="20" t="inlineStr">
        <is>
          <t>11</t>
        </is>
      </c>
      <c r="E10" s="21" t="inlineStr"/>
      <c r="F10" s="22" t="inlineStr">
        <is>
          <t>Agriculture, Forestry, Fishing and Hunting</t>
        </is>
      </c>
      <c r="G10" s="23" t="n">
        <v>147</v>
      </c>
      <c r="H10" s="24" t="n">
        <v>2140</v>
      </c>
      <c r="I10" s="23" t="n">
        <v>1907</v>
      </c>
      <c r="J10" s="23" t="n">
        <v>2450</v>
      </c>
      <c r="K10" s="23" t="n">
        <v>2380</v>
      </c>
      <c r="L10" s="23" t="n">
        <v>1823</v>
      </c>
      <c r="M10" s="18" t="n">
        <v>0</v>
      </c>
      <c r="N10" s="25" t="inlineStr">
        <is>
          <t>Official Revised</t>
        </is>
      </c>
    </row>
    <row r="11" ht="21" customHeight="1">
      <c r="B11" s="13" t="inlineStr">
        <is>
          <t>EMP-2025-003</t>
        </is>
      </c>
      <c r="C11" s="14" t="n">
        <v>2025</v>
      </c>
      <c r="D11" s="14" t="inlineStr"/>
      <c r="E11" s="14" t="inlineStr">
        <is>
          <t>111</t>
        </is>
      </c>
      <c r="F11" s="26" t="inlineStr">
        <is>
          <t>Crop Production</t>
        </is>
      </c>
      <c r="G11" s="16" t="n">
        <v>93</v>
      </c>
      <c r="H11" s="17" t="n">
        <v>1530</v>
      </c>
      <c r="I11" s="16" t="n">
        <v>1445</v>
      </c>
      <c r="J11" s="16" t="n">
        <v>1750</v>
      </c>
      <c r="K11" s="16" t="n">
        <v>1680</v>
      </c>
      <c r="L11" s="16" t="n">
        <v>1245</v>
      </c>
      <c r="M11" s="18" t="n">
        <v>0</v>
      </c>
      <c r="N11" s="19" t="inlineStr">
        <is>
          <t>Official Revised</t>
        </is>
      </c>
    </row>
    <row r="12" ht="21" customHeight="1">
      <c r="B12" s="20" t="inlineStr">
        <is>
          <t>EMP-2025-004</t>
        </is>
      </c>
      <c r="C12" s="21" t="n">
        <v>2025</v>
      </c>
      <c r="D12" s="21" t="inlineStr"/>
      <c r="E12" s="21" t="inlineStr">
        <is>
          <t>112</t>
        </is>
      </c>
      <c r="F12" s="27" t="inlineStr">
        <is>
          <t>Animal Production and Aquaculture</t>
        </is>
      </c>
      <c r="G12" s="23" t="n">
        <v>33</v>
      </c>
      <c r="H12" s="24" t="n">
        <v>238</v>
      </c>
      <c r="I12" s="23" t="n">
        <v>240</v>
      </c>
      <c r="J12" s="23" t="n">
        <v>235</v>
      </c>
      <c r="K12" s="23" t="n">
        <v>238</v>
      </c>
      <c r="L12" s="23" t="n">
        <v>239</v>
      </c>
      <c r="M12" s="18" t="n">
        <v>0</v>
      </c>
      <c r="N12" s="25" t="inlineStr">
        <is>
          <t>Official Revised</t>
        </is>
      </c>
    </row>
    <row r="13" ht="21" customHeight="1">
      <c r="B13" s="13" t="inlineStr">
        <is>
          <t>EMP-2025-005</t>
        </is>
      </c>
      <c r="C13" s="14" t="n">
        <v>2025</v>
      </c>
      <c r="D13" s="13" t="inlineStr">
        <is>
          <t>23</t>
        </is>
      </c>
      <c r="E13" s="14" t="inlineStr"/>
      <c r="F13" s="15" t="inlineStr">
        <is>
          <t>Construction</t>
        </is>
      </c>
      <c r="G13" s="16" t="n">
        <v>480</v>
      </c>
      <c r="H13" s="17" t="n">
        <v>4320</v>
      </c>
      <c r="I13" s="16" t="n">
        <v>4100</v>
      </c>
      <c r="J13" s="16" t="n">
        <v>4450</v>
      </c>
      <c r="K13" s="16" t="n">
        <v>4480</v>
      </c>
      <c r="L13" s="16" t="n">
        <v>4250</v>
      </c>
      <c r="M13" s="18" t="n">
        <v>0</v>
      </c>
      <c r="N13" s="19" t="inlineStr">
        <is>
          <t>Official Revised</t>
        </is>
      </c>
    </row>
    <row r="14" ht="21" customHeight="1">
      <c r="B14" s="20" t="inlineStr">
        <is>
          <t>EMP-2025-006</t>
        </is>
      </c>
      <c r="C14" s="21" t="n">
        <v>2025</v>
      </c>
      <c r="D14" s="20" t="inlineStr">
        <is>
          <t>31-33</t>
        </is>
      </c>
      <c r="E14" s="21" t="inlineStr"/>
      <c r="F14" s="22" t="inlineStr">
        <is>
          <t>Manufacturing</t>
        </is>
      </c>
      <c r="G14" s="23" t="n">
        <v>245</v>
      </c>
      <c r="H14" s="24" t="n">
        <v>5950</v>
      </c>
      <c r="I14" s="23" t="n">
        <v>5890</v>
      </c>
      <c r="J14" s="23" t="n">
        <v>6020</v>
      </c>
      <c r="K14" s="23" t="n">
        <v>5980</v>
      </c>
      <c r="L14" s="23" t="n">
        <v>5910</v>
      </c>
      <c r="M14" s="18" t="n">
        <v>0</v>
      </c>
      <c r="N14" s="25" t="inlineStr">
        <is>
          <t>Official Revised</t>
        </is>
      </c>
    </row>
    <row r="15" ht="21" customHeight="1">
      <c r="B15" s="13" t="inlineStr">
        <is>
          <t>EMP-2025-007</t>
        </is>
      </c>
      <c r="C15" s="14" t="n">
        <v>2025</v>
      </c>
      <c r="D15" s="13" t="inlineStr">
        <is>
          <t>44-45</t>
        </is>
      </c>
      <c r="E15" s="14" t="inlineStr"/>
      <c r="F15" s="15" t="inlineStr">
        <is>
          <t>Retail Trade</t>
        </is>
      </c>
      <c r="G15" s="16" t="n">
        <v>390</v>
      </c>
      <c r="H15" s="17" t="n">
        <v>6420</v>
      </c>
      <c r="I15" s="16" t="n">
        <v>6310</v>
      </c>
      <c r="J15" s="16" t="n">
        <v>6450</v>
      </c>
      <c r="K15" s="16" t="n">
        <v>6410</v>
      </c>
      <c r="L15" s="16" t="n">
        <v>6510</v>
      </c>
      <c r="M15" s="18" t="n">
        <v>0</v>
      </c>
      <c r="N15" s="19" t="inlineStr">
        <is>
          <t>Official Revised</t>
        </is>
      </c>
    </row>
    <row r="16" ht="21" customHeight="1">
      <c r="B16" s="20" t="inlineStr">
        <is>
          <t>EMP-2025-008</t>
        </is>
      </c>
      <c r="C16" s="21" t="n">
        <v>2025</v>
      </c>
      <c r="D16" s="20" t="inlineStr">
        <is>
          <t>62</t>
        </is>
      </c>
      <c r="E16" s="21" t="inlineStr"/>
      <c r="F16" s="22" t="inlineStr">
        <is>
          <t>Health Care and Social Assistance</t>
        </is>
      </c>
      <c r="G16" s="23" t="n">
        <v>410</v>
      </c>
      <c r="H16" s="24" t="n">
        <v>7850</v>
      </c>
      <c r="I16" s="23" t="n">
        <v>7780</v>
      </c>
      <c r="J16" s="23" t="n">
        <v>7840</v>
      </c>
      <c r="K16" s="23" t="n">
        <v>7870</v>
      </c>
      <c r="L16" s="23" t="n">
        <v>7910</v>
      </c>
      <c r="M16" s="18" t="n">
        <v>0</v>
      </c>
      <c r="N16" s="25" t="inlineStr">
        <is>
          <t>Official Revised</t>
        </is>
      </c>
    </row>
    <row r="17" ht="21" customHeight="1">
      <c r="B17" s="13" t="inlineStr">
        <is>
          <t>EMP-2025-009</t>
        </is>
      </c>
      <c r="C17" s="14" t="n">
        <v>2025</v>
      </c>
      <c r="D17" s="13" t="inlineStr">
        <is>
          <t>72</t>
        </is>
      </c>
      <c r="E17" s="14" t="inlineStr"/>
      <c r="F17" s="15" t="inlineStr">
        <is>
          <t>Accommodation and Food Services</t>
        </is>
      </c>
      <c r="G17" s="16" t="n">
        <v>285</v>
      </c>
      <c r="H17" s="17" t="n">
        <v>4150</v>
      </c>
      <c r="I17" s="16" t="n">
        <v>3980</v>
      </c>
      <c r="J17" s="16" t="n">
        <v>4320</v>
      </c>
      <c r="K17" s="16" t="n">
        <v>4310</v>
      </c>
      <c r="L17" s="16" t="n">
        <v>3990</v>
      </c>
      <c r="M17" s="18" t="n">
        <v>0</v>
      </c>
      <c r="N17" s="19" t="inlineStr">
        <is>
          <t>Official Revised</t>
        </is>
      </c>
    </row>
    <row r="18" ht="21" customHeight="1">
      <c r="B18" s="20" t="inlineStr">
        <is>
          <t>EMP-2025-010</t>
        </is>
      </c>
      <c r="C18" s="21" t="n">
        <v>2025</v>
      </c>
      <c r="D18" s="20" t="inlineStr">
        <is>
          <t>92</t>
        </is>
      </c>
      <c r="E18" s="21" t="inlineStr"/>
      <c r="F18" s="22" t="inlineStr">
        <is>
          <t>Public Administration (Government)</t>
        </is>
      </c>
      <c r="G18" s="23" t="n">
        <v>95</v>
      </c>
      <c r="H18" s="24" t="n">
        <v>3450</v>
      </c>
      <c r="I18" s="23" t="n">
        <v>3420</v>
      </c>
      <c r="J18" s="23" t="n">
        <v>3460</v>
      </c>
      <c r="K18" s="23" t="n">
        <v>3440</v>
      </c>
      <c r="L18" s="23" t="n">
        <v>3480</v>
      </c>
      <c r="M18" s="18" t="n">
        <v>0</v>
      </c>
      <c r="N18" s="25" t="inlineStr">
        <is>
          <t>Official Revised</t>
        </is>
      </c>
    </row>
    <row r="19"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9" t="n"/>
      <c r="N19" s="28" t="n"/>
    </row>
    <row r="20"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9" t="n"/>
      <c r="N20" s="28" t="n"/>
    </row>
    <row r="21"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9" t="n"/>
      <c r="N21" s="28" t="n"/>
    </row>
    <row r="22"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9" t="n"/>
      <c r="N22" s="28" t="n"/>
    </row>
    <row r="23"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9" t="n"/>
      <c r="N23" s="28" t="n"/>
    </row>
    <row r="24"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9" t="n"/>
      <c r="N24" s="28" t="n"/>
    </row>
    <row r="25"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9" t="n"/>
      <c r="N25" s="28" t="n"/>
    </row>
    <row r="26"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9" t="n"/>
      <c r="N26" s="28" t="n"/>
    </row>
    <row r="27"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9" t="n"/>
      <c r="N27" s="28" t="n"/>
    </row>
    <row r="28"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9" t="n"/>
      <c r="N28" s="28" t="n"/>
    </row>
    <row r="29"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9" t="n"/>
      <c r="N29" s="28" t="n"/>
    </row>
    <row r="30"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9" t="n"/>
      <c r="N30" s="28" t="n"/>
    </row>
    <row r="31"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9" t="n"/>
      <c r="N31" s="28" t="n"/>
    </row>
    <row r="32"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9" t="n"/>
      <c r="N32" s="28" t="n"/>
    </row>
    <row r="33"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9" t="n"/>
      <c r="N33" s="28" t="n"/>
    </row>
    <row r="34"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9" t="n"/>
      <c r="N34" s="28" t="n"/>
    </row>
    <row r="35"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9" t="n"/>
      <c r="N35" s="28" t="n"/>
    </row>
    <row r="36"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9" t="n"/>
      <c r="N36" s="28" t="n"/>
    </row>
    <row r="37"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9" t="n"/>
      <c r="N37" s="28" t="n"/>
    </row>
    <row r="38"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9" t="n"/>
      <c r="N38" s="28" t="n"/>
    </row>
    <row r="39"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9" t="n"/>
      <c r="N39" s="28" t="n"/>
    </row>
    <row r="40"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9" t="n"/>
      <c r="N40" s="28" t="n"/>
    </row>
    <row r="41"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9" t="n"/>
      <c r="N41" s="28" t="n"/>
    </row>
    <row r="42"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9" t="n"/>
      <c r="N42" s="28" t="n"/>
    </row>
    <row r="43"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9" t="n"/>
      <c r="N43" s="28" t="n"/>
    </row>
    <row r="44"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9" t="n"/>
      <c r="N44" s="28" t="n"/>
    </row>
    <row r="45"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9" t="n"/>
      <c r="N45" s="28" t="n"/>
    </row>
    <row r="46"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9" t="n"/>
      <c r="N46" s="28" t="n"/>
    </row>
    <row r="47"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9" t="n"/>
      <c r="N47" s="28" t="n"/>
    </row>
    <row r="48"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9" t="n"/>
      <c r="N48" s="28" t="n"/>
    </row>
    <row r="49"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9" t="n"/>
      <c r="N49" s="28" t="n"/>
    </row>
    <row r="50"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9" t="n"/>
      <c r="N50" s="28" t="n"/>
    </row>
    <row r="51"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9" t="n"/>
      <c r="N51" s="28" t="n"/>
    </row>
    <row r="52"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9" t="n"/>
      <c r="N52" s="28" t="n"/>
    </row>
    <row r="53"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9" t="n"/>
      <c r="N53" s="28" t="n"/>
    </row>
    <row r="54"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9" t="n"/>
      <c r="N54" s="28" t="n"/>
    </row>
    <row r="55"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9" t="n"/>
      <c r="N55" s="28" t="n"/>
    </row>
    <row r="56"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9" t="n"/>
      <c r="N56" s="28" t="n"/>
    </row>
    <row r="57"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9" t="n"/>
      <c r="N57" s="28" t="n"/>
    </row>
    <row r="58"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9" t="n"/>
      <c r="N58" s="28" t="n"/>
    </row>
    <row r="59"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9" t="n"/>
      <c r="N59" s="28" t="n"/>
    </row>
    <row r="60"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9" t="n"/>
      <c r="N60" s="28" t="n"/>
    </row>
    <row r="61"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9" t="n"/>
      <c r="N61" s="28" t="n"/>
    </row>
    <row r="62"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9" t="n"/>
      <c r="N62" s="28" t="n"/>
    </row>
    <row r="63"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9" t="n"/>
      <c r="N63" s="28" t="n"/>
    </row>
    <row r="64"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9" t="n"/>
      <c r="N64" s="28" t="n"/>
    </row>
    <row r="65"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9" t="n"/>
      <c r="N65" s="28" t="n"/>
    </row>
    <row r="66"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9" t="n"/>
      <c r="N66" s="28" t="n"/>
    </row>
    <row r="67"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9" t="n"/>
      <c r="N67" s="28" t="n"/>
    </row>
    <row r="68"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9" t="n"/>
      <c r="N68" s="28" t="n"/>
    </row>
    <row r="69"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9" t="n"/>
      <c r="N69" s="28" t="n"/>
    </row>
    <row r="70"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9" t="n"/>
      <c r="N70" s="28" t="n"/>
    </row>
    <row r="71"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9" t="n"/>
      <c r="N71" s="28" t="n"/>
    </row>
    <row r="72"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9" t="n"/>
      <c r="N72" s="28" t="n"/>
    </row>
    <row r="73"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9" t="n"/>
      <c r="N73" s="28" t="n"/>
    </row>
    <row r="74"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9" t="n"/>
      <c r="N74" s="28" t="n"/>
    </row>
    <row r="75"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9" t="n"/>
      <c r="N75" s="28" t="n"/>
    </row>
    <row r="76"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9" t="n"/>
      <c r="N76" s="28" t="n"/>
    </row>
    <row r="77"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9" t="n"/>
      <c r="N77" s="28" t="n"/>
    </row>
    <row r="78"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9" t="n"/>
      <c r="N78" s="28" t="n"/>
    </row>
    <row r="79"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9" t="n"/>
      <c r="N79" s="28" t="n"/>
    </row>
    <row r="80"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9" t="n"/>
      <c r="N80" s="28" t="n"/>
    </row>
    <row r="81"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9" t="n"/>
      <c r="N81" s="28" t="n"/>
    </row>
    <row r="82"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28" t="n"/>
    </row>
    <row r="83"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9" t="n"/>
      <c r="N83" s="28" t="n"/>
    </row>
    <row r="84"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9" t="n"/>
      <c r="N84" s="28" t="n"/>
    </row>
    <row r="85"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9" t="n"/>
      <c r="N85" s="28" t="n"/>
    </row>
    <row r="86"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9" t="n"/>
      <c r="N86" s="28" t="n"/>
    </row>
    <row r="87"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9" t="n"/>
      <c r="N87" s="28" t="n"/>
    </row>
    <row r="88"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9" t="n"/>
      <c r="N88" s="28" t="n"/>
    </row>
    <row r="89"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28" t="n"/>
    </row>
    <row r="90"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9" t="n"/>
      <c r="N90" s="28" t="n"/>
    </row>
    <row r="91"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9" t="n"/>
      <c r="N91" s="28" t="n"/>
    </row>
    <row r="92"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9" t="n"/>
      <c r="N92" s="28" t="n"/>
    </row>
    <row r="93"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9" t="n"/>
      <c r="N93" s="28" t="n"/>
    </row>
    <row r="94"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9" t="n"/>
      <c r="N94" s="28" t="n"/>
    </row>
    <row r="95"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9" t="n"/>
      <c r="N95" s="28" t="n"/>
    </row>
    <row r="96"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9" t="n"/>
      <c r="N96" s="28" t="n"/>
    </row>
    <row r="97"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9" t="n"/>
      <c r="N97" s="28" t="n"/>
    </row>
    <row r="98"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9" t="n"/>
      <c r="N98" s="28" t="n"/>
    </row>
    <row r="99"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9" t="n"/>
      <c r="N99" s="28" t="n"/>
    </row>
    <row r="100"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9" t="n"/>
      <c r="N100" s="28" t="n"/>
    </row>
    <row r="101"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9" t="n"/>
      <c r="N101" s="28" t="n"/>
    </row>
    <row r="102"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9" t="n"/>
      <c r="N102" s="28" t="n"/>
    </row>
    <row r="103"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9" t="n"/>
      <c r="N103" s="28" t="n"/>
    </row>
    <row r="104"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9" t="n"/>
      <c r="N104" s="28" t="n"/>
    </row>
    <row r="105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9" t="n"/>
      <c r="N105" s="28" t="n"/>
    </row>
    <row r="106"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9" t="n"/>
      <c r="N106" s="28" t="n"/>
    </row>
    <row r="107"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9" t="n"/>
      <c r="N107" s="28" t="n"/>
    </row>
    <row r="108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9" t="n"/>
      <c r="N108" s="28" t="n"/>
    </row>
    <row r="109"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9" t="n"/>
      <c r="N109" s="28" t="n"/>
    </row>
    <row r="110"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9" t="n"/>
      <c r="N110" s="28" t="n"/>
    </row>
    <row r="11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9" t="n"/>
      <c r="N111" s="28" t="n"/>
    </row>
    <row r="112"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9" t="n"/>
      <c r="N112" s="28" t="n"/>
    </row>
    <row r="113"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9" t="n"/>
      <c r="N113" s="28" t="n"/>
    </row>
    <row r="114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9" t="n"/>
      <c r="N114" s="28" t="n"/>
    </row>
    <row r="115"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9" t="n"/>
      <c r="N115" s="28" t="n"/>
    </row>
    <row r="116"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9" t="n"/>
      <c r="N116" s="28" t="n"/>
    </row>
    <row r="117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9" t="n"/>
      <c r="N117" s="28" t="n"/>
    </row>
    <row r="118"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9" t="n"/>
      <c r="N118" s="28" t="n"/>
    </row>
    <row r="119"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9" t="n"/>
      <c r="N119" s="28" t="n"/>
    </row>
    <row r="120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9" t="n"/>
      <c r="N120" s="28" t="n"/>
    </row>
    <row r="121"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9" t="n"/>
      <c r="N121" s="28" t="n"/>
    </row>
    <row r="122"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9" t="n"/>
      <c r="N122" s="28" t="n"/>
    </row>
    <row r="123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9" t="n"/>
      <c r="N123" s="28" t="n"/>
    </row>
    <row r="124"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9" t="n"/>
      <c r="N124" s="28" t="n"/>
    </row>
    <row r="125"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9" t="n"/>
      <c r="N125" s="28" t="n"/>
    </row>
    <row r="126"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9" t="n"/>
      <c r="N126" s="28" t="n"/>
    </row>
    <row r="127"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9" t="n"/>
      <c r="N127" s="28" t="n"/>
    </row>
    <row r="128"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9" t="n"/>
      <c r="N128" s="28" t="n"/>
    </row>
    <row r="129"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28" t="n"/>
    </row>
    <row r="130"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9" t="n"/>
      <c r="N130" s="28" t="n"/>
    </row>
    <row r="131"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9" t="n"/>
      <c r="N131" s="28" t="n"/>
    </row>
    <row r="132"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9" t="n"/>
      <c r="N132" s="28" t="n"/>
    </row>
    <row r="133"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9" t="n"/>
      <c r="N133" s="28" t="n"/>
    </row>
    <row r="134"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9" t="n"/>
      <c r="N134" s="28" t="n"/>
    </row>
    <row r="135"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9" t="n"/>
      <c r="N135" s="28" t="n"/>
    </row>
    <row r="136"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9" t="n"/>
      <c r="N136" s="28" t="n"/>
    </row>
    <row r="137"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9" t="n"/>
      <c r="N137" s="28" t="n"/>
    </row>
    <row r="138"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9" t="n"/>
      <c r="N138" s="28" t="n"/>
    </row>
    <row r="139"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9" t="n"/>
      <c r="N139" s="28" t="n"/>
    </row>
    <row r="140"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9" t="n"/>
      <c r="N140" s="28" t="n"/>
    </row>
    <row r="141"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9" t="n"/>
      <c r="N141" s="28" t="n"/>
    </row>
    <row r="142"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9" t="n"/>
      <c r="N142" s="28" t="n"/>
    </row>
    <row r="143"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9" t="n"/>
      <c r="N143" s="28" t="n"/>
    </row>
    <row r="144"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9" t="n"/>
      <c r="N144" s="28" t="n"/>
    </row>
    <row r="145"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9" t="n"/>
      <c r="N145" s="28" t="n"/>
    </row>
    <row r="146"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9" t="n"/>
      <c r="N146" s="28" t="n"/>
    </row>
    <row r="147"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9" t="n"/>
      <c r="N147" s="28" t="n"/>
    </row>
    <row r="148"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9" t="n"/>
      <c r="N148" s="28" t="n"/>
    </row>
    <row r="149"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9" t="n"/>
      <c r="N149" s="28" t="n"/>
    </row>
    <row r="150"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9" t="n"/>
      <c r="N150" s="28" t="n"/>
    </row>
    <row r="151"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9" t="n"/>
      <c r="N151" s="28" t="n"/>
    </row>
    <row r="152"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9" t="n"/>
      <c r="N152" s="28" t="n"/>
    </row>
    <row r="153"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9" t="n"/>
      <c r="N153" s="28" t="n"/>
    </row>
    <row r="154"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9" t="n"/>
      <c r="N154" s="28" t="n"/>
    </row>
    <row r="155"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9" t="n"/>
      <c r="N155" s="28" t="n"/>
    </row>
    <row r="156"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9" t="n"/>
      <c r="N156" s="28" t="n"/>
    </row>
    <row r="157"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9" t="n"/>
      <c r="N157" s="28" t="n"/>
    </row>
    <row r="158"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9" t="n"/>
      <c r="N158" s="28" t="n"/>
    </row>
    <row r="159"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9" t="n"/>
      <c r="N159" s="28" t="n"/>
    </row>
    <row r="160"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9" t="n"/>
      <c r="N160" s="28" t="n"/>
    </row>
    <row r="161"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9" t="n"/>
      <c r="N161" s="28" t="n"/>
    </row>
    <row r="162"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9" t="n"/>
      <c r="N162" s="28" t="n"/>
    </row>
    <row r="163"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9" t="n"/>
      <c r="N163" s="28" t="n"/>
    </row>
    <row r="164"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9" t="n"/>
      <c r="N164" s="28" t="n"/>
    </row>
    <row r="165"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9" t="n"/>
      <c r="N165" s="28" t="n"/>
    </row>
    <row r="166"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9" t="n"/>
      <c r="N166" s="28" t="n"/>
    </row>
    <row r="167"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9" t="n"/>
      <c r="N167" s="28" t="n"/>
    </row>
    <row r="168"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9" t="n"/>
      <c r="N168" s="28" t="n"/>
    </row>
    <row r="169"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9" t="n"/>
      <c r="N169" s="28" t="n"/>
    </row>
    <row r="170"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9" t="n"/>
      <c r="N170" s="28" t="n"/>
    </row>
    <row r="171"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9" t="n"/>
      <c r="N171" s="28" t="n"/>
    </row>
    <row r="172"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9" t="n"/>
      <c r="N172" s="28" t="n"/>
    </row>
    <row r="173"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9" t="n"/>
      <c r="N173" s="28" t="n"/>
    </row>
    <row r="174"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9" t="n"/>
      <c r="N174" s="28" t="n"/>
    </row>
    <row r="175"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9" t="n"/>
      <c r="N175" s="28" t="n"/>
    </row>
    <row r="176"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9" t="n"/>
      <c r="N176" s="28" t="n"/>
    </row>
    <row r="177"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9" t="n"/>
      <c r="N177" s="28" t="n"/>
    </row>
    <row r="178"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9" t="n"/>
      <c r="N178" s="28" t="n"/>
    </row>
    <row r="179"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9" t="n"/>
      <c r="N179" s="28" t="n"/>
    </row>
    <row r="180"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9" t="n"/>
      <c r="N180" s="28" t="n"/>
    </row>
    <row r="181"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9" t="n"/>
      <c r="N181" s="28" t="n"/>
    </row>
    <row r="182"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9" t="n"/>
      <c r="N182" s="28" t="n"/>
    </row>
    <row r="183"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9" t="n"/>
      <c r="N183" s="28" t="n"/>
    </row>
    <row r="184"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9" t="n"/>
      <c r="N184" s="28" t="n"/>
    </row>
    <row r="185"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9" t="n"/>
      <c r="N185" s="28" t="n"/>
    </row>
    <row r="186"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9" t="n"/>
      <c r="N186" s="28" t="n"/>
    </row>
    <row r="187"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9" t="n"/>
      <c r="N187" s="28" t="n"/>
    </row>
    <row r="188"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9" t="n"/>
      <c r="N188" s="28" t="n"/>
    </row>
    <row r="189"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9" t="n"/>
      <c r="N189" s="28" t="n"/>
    </row>
    <row r="190"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9" t="n"/>
      <c r="N190" s="28" t="n"/>
    </row>
    <row r="191"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9" t="n"/>
      <c r="N191" s="28" t="n"/>
    </row>
    <row r="192"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9" t="n"/>
      <c r="N192" s="28" t="n"/>
    </row>
    <row r="193"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9" t="n"/>
      <c r="N193" s="28" t="n"/>
    </row>
    <row r="194"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9" t="n"/>
      <c r="N194" s="28" t="n"/>
    </row>
    <row r="195"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9" t="n"/>
      <c r="N195" s="28" t="n"/>
    </row>
    <row r="196"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9" t="n"/>
      <c r="N196" s="28" t="n"/>
    </row>
    <row r="197"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9" t="n"/>
      <c r="N197" s="28" t="n"/>
    </row>
    <row r="198"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9" t="n"/>
      <c r="N198" s="28" t="n"/>
    </row>
    <row r="199"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9" t="n"/>
      <c r="N199" s="28" t="n"/>
    </row>
    <row r="200"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9" t="n"/>
      <c r="N200" s="28" t="n"/>
    </row>
    <row r="201"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9" t="n"/>
      <c r="N201" s="28" t="n"/>
    </row>
    <row r="202"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9" t="n"/>
      <c r="N202" s="28" t="n"/>
    </row>
    <row r="203"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9" t="n"/>
      <c r="N203" s="28" t="n"/>
    </row>
    <row r="204"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9" t="n"/>
      <c r="N204" s="28" t="n"/>
    </row>
    <row r="205"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9" t="n"/>
      <c r="N205" s="28" t="n"/>
    </row>
    <row r="206"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9" t="n"/>
      <c r="N206" s="28" t="n"/>
    </row>
    <row r="207"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9" t="n"/>
      <c r="N207" s="28" t="n"/>
    </row>
    <row r="208"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9" t="n"/>
      <c r="N208" s="28" t="n"/>
    </row>
    <row r="209"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9" t="n"/>
      <c r="N209" s="28" t="n"/>
    </row>
    <row r="210"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9" t="n"/>
      <c r="N210" s="28" t="n"/>
    </row>
    <row r="211"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9" t="n"/>
      <c r="N211" s="28" t="n"/>
    </row>
    <row r="212"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9" t="n"/>
      <c r="N212" s="28" t="n"/>
    </row>
    <row r="213"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9" t="n"/>
      <c r="N213" s="28" t="n"/>
    </row>
    <row r="214"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9" t="n"/>
      <c r="N214" s="28" t="n"/>
    </row>
    <row r="215"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9" t="n"/>
      <c r="N215" s="28" t="n"/>
    </row>
    <row r="216"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9" t="n"/>
      <c r="N216" s="28" t="n"/>
    </row>
    <row r="217"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9" t="n"/>
      <c r="N217" s="28" t="n"/>
    </row>
    <row r="218"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9" t="n"/>
      <c r="N218" s="28" t="n"/>
    </row>
    <row r="219"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9" t="n"/>
      <c r="N219" s="28" t="n"/>
    </row>
    <row r="220"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9" t="n"/>
      <c r="N220" s="28" t="n"/>
    </row>
    <row r="221"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9" t="n"/>
      <c r="N221" s="28" t="n"/>
    </row>
    <row r="222"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9" t="n"/>
      <c r="N222" s="28" t="n"/>
    </row>
    <row r="223"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9" t="n"/>
      <c r="N223" s="28" t="n"/>
    </row>
    <row r="224"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9" t="n"/>
      <c r="N224" s="28" t="n"/>
    </row>
    <row r="225"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9" t="n"/>
      <c r="N225" s="28" t="n"/>
    </row>
    <row r="226"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9" t="n"/>
      <c r="N226" s="28" t="n"/>
    </row>
    <row r="227"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9" t="n"/>
      <c r="N227" s="28" t="n"/>
    </row>
    <row r="228"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9" t="n"/>
      <c r="N228" s="28" t="n"/>
    </row>
    <row r="229"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9" t="n"/>
      <c r="N229" s="28" t="n"/>
    </row>
    <row r="230"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9" t="n"/>
      <c r="N230" s="28" t="n"/>
    </row>
    <row r="231"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9" t="n"/>
      <c r="N231" s="28" t="n"/>
    </row>
    <row r="232"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9" t="n"/>
      <c r="N232" s="28" t="n"/>
    </row>
    <row r="233"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9" t="n"/>
      <c r="N233" s="28" t="n"/>
    </row>
    <row r="234"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9" t="n"/>
      <c r="N234" s="28" t="n"/>
    </row>
    <row r="235"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9" t="n"/>
      <c r="N235" s="28" t="n"/>
    </row>
    <row r="236"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9" t="n"/>
      <c r="N236" s="28" t="n"/>
    </row>
    <row r="237"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9" t="n"/>
      <c r="N237" s="28" t="n"/>
    </row>
    <row r="238"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9" t="n"/>
      <c r="N238" s="28" t="n"/>
    </row>
    <row r="239"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9" t="n"/>
      <c r="N239" s="28" t="n"/>
    </row>
    <row r="240"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9" t="n"/>
      <c r="N240" s="28" t="n"/>
    </row>
    <row r="241"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9" t="n"/>
      <c r="N241" s="28" t="n"/>
    </row>
    <row r="242"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9" t="n"/>
      <c r="N242" s="28" t="n"/>
    </row>
    <row r="243"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9" t="n"/>
      <c r="N243" s="28" t="n"/>
    </row>
    <row r="244"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9" t="n"/>
      <c r="N244" s="28" t="n"/>
    </row>
    <row r="245"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9" t="n"/>
      <c r="N245" s="28" t="n"/>
    </row>
    <row r="246"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9" t="n"/>
      <c r="N246" s="28" t="n"/>
    </row>
    <row r="247"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9" t="n"/>
      <c r="N247" s="28" t="n"/>
    </row>
    <row r="248"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9" t="n"/>
      <c r="N248" s="28" t="n"/>
    </row>
    <row r="249"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9" t="n"/>
      <c r="N249" s="28" t="n"/>
    </row>
    <row r="250"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9" t="n"/>
      <c r="N250" s="2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">
    <mergeCell ref="B6:N6"/>
    <mergeCell ref="B5:N5"/>
  </mergeCells>
  <conditionalFormatting sqref="B5:N5">
    <cfRule type="expression" priority="1" dxfId="0">
      <formula>ISNUMBER(SEARCH("❌",B5))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2" customWidth="1" min="3" max="3"/>
    <col width="45" customWidth="1" min="4" max="4"/>
  </cols>
  <sheetData>
    <row r="1">
      <c r="A1" s="30" t="inlineStr">
        <is>
          <t>Jurisdiction_Master</t>
        </is>
      </c>
      <c r="B1" s="30" t="inlineStr">
        <is>
          <t>UGA_Classification</t>
        </is>
      </c>
      <c r="C1" s="31" t="inlineStr">
        <is>
          <t>Official_Header_Schema</t>
        </is>
      </c>
      <c r="D1" s="30" t="inlineStr">
        <is>
          <t>Canonical_Signature_Key</t>
        </is>
      </c>
    </row>
    <row r="2">
      <c r="A2" s="7" t="inlineStr">
        <is>
          <t>Anacortes</t>
        </is>
      </c>
      <c r="B2" s="7" t="inlineStr">
        <is>
          <t>Incorporated City/Town</t>
        </is>
      </c>
      <c r="C2" s="6" t="inlineStr">
        <is>
          <t>Record_ID</t>
        </is>
      </c>
      <c r="D2" s="32" t="inlineStr">
        <is>
          <t>Record_ID|Calendar_Year|NAICS_2Digit_Code|NAICS_3Digit_Code|Industry_Subsector_Title|Average_Establishments|Annual_Average_Employment|Q1_Employment|Q2_Employment|Q3_Employment|Q4_Employment|YoY_Employment_Change|Data_Release_Status</t>
        </is>
      </c>
    </row>
    <row r="3">
      <c r="A3" s="7" t="inlineStr">
        <is>
          <t>Burlington</t>
        </is>
      </c>
      <c r="B3" s="7" t="inlineStr">
        <is>
          <t>Urban Growth Area (UGA)</t>
        </is>
      </c>
      <c r="C3" s="6" t="inlineStr">
        <is>
          <t>Calendar_Year</t>
        </is>
      </c>
    </row>
    <row r="4">
      <c r="A4" s="7" t="inlineStr">
        <is>
          <t>Concrete</t>
        </is>
      </c>
      <c r="B4" s="7" t="inlineStr">
        <is>
          <t>Unincorporated Rural Area</t>
        </is>
      </c>
      <c r="C4" s="6" t="inlineStr">
        <is>
          <t>NAICS_2Digit_Code</t>
        </is>
      </c>
    </row>
    <row r="5">
      <c r="A5" s="7" t="inlineStr">
        <is>
          <t>Hamilton</t>
        </is>
      </c>
      <c r="C5" s="6" t="inlineStr">
        <is>
          <t>NAICS_3Digit_Code</t>
        </is>
      </c>
    </row>
    <row r="6">
      <c r="A6" s="7" t="inlineStr">
        <is>
          <t>La Conner</t>
        </is>
      </c>
      <c r="C6" s="6" t="inlineStr">
        <is>
          <t>Industry_Subsector_Title</t>
        </is>
      </c>
    </row>
    <row r="7">
      <c r="A7" s="7" t="inlineStr">
        <is>
          <t>Lyman</t>
        </is>
      </c>
      <c r="C7" s="6" t="inlineStr">
        <is>
          <t>Average_Establishments</t>
        </is>
      </c>
    </row>
    <row r="8">
      <c r="A8" s="7" t="inlineStr">
        <is>
          <t>Mount Vernon</t>
        </is>
      </c>
      <c r="C8" s="6" t="inlineStr">
        <is>
          <t>Annual_Average_Employment</t>
        </is>
      </c>
    </row>
    <row r="9">
      <c r="A9" s="7" t="inlineStr">
        <is>
          <t>Sedro-Woolley</t>
        </is>
      </c>
      <c r="C9" s="6" t="inlineStr">
        <is>
          <t>Q1_Employment</t>
        </is>
      </c>
    </row>
    <row r="10">
      <c r="A10" s="7" t="inlineStr">
        <is>
          <t>Bay View Ridge UGA</t>
        </is>
      </c>
      <c r="C10" s="6" t="inlineStr">
        <is>
          <t>Q2_Employment</t>
        </is>
      </c>
    </row>
    <row r="11">
      <c r="A11" s="7" t="inlineStr">
        <is>
          <t>Swinomish UGA</t>
        </is>
      </c>
      <c r="C11" s="6" t="inlineStr">
        <is>
          <t>Q3_Employment</t>
        </is>
      </c>
    </row>
    <row r="12">
      <c r="A12" s="7" t="inlineStr">
        <is>
          <t>Unincorporated Skagit County</t>
        </is>
      </c>
      <c r="C12" s="6" t="inlineStr">
        <is>
          <t>Q4_Employment</t>
        </is>
      </c>
    </row>
    <row r="13">
      <c r="C13" s="6" t="inlineStr">
        <is>
          <t>YoY_Employment_Change</t>
        </is>
      </c>
    </row>
    <row r="14">
      <c r="C14" s="6" t="inlineStr">
        <is>
          <t>Data_Release_Status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2026-10-08T19:24:16Z</dcterms:created>
  <dcterms:modified xsi:type="dcterms:W3CDTF">2026-10-08T19:24:16Z</dcterms:modified>
</cp:coreProperties>
</file>
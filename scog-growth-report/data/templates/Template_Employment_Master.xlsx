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Employment_QCEW_Master" sheetId="2" state="visible" r:id="rId4"/>
    <sheet name="Ref_Lookup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<sst xmlns="http://schemas.openxmlformats.org/spreadsheetml/2006/main" count="162" uniqueCount="101">
  <si>
    <t xml:space="preserve">SCOG Regional Employment Monitoring Intake</t>
  </si>
  <si>
    <t xml:space="preserve">Quarterly Census of Employment and Wages (QCEW) Annual Industry Trends</t>
  </si>
  <si>
    <t xml:space="preserve">Official Skagit Council of Governments (SCOG) Standard Data Template</t>
  </si>
  <si>
    <t xml:space="preserve">Standard Operating Procedure (SOP) for Annual Updates</t>
  </si>
  <si>
    <t xml:space="preserve">Step 1</t>
  </si>
  <si>
    <t xml:space="preserve">ESD QCEW Annual Release</t>
  </si>
  <si>
    <t xml:space="preserve">Download annual average covered employment reports from Washington Employment Security Department (ESD).</t>
  </si>
  <si>
    <t xml:space="preserve">Step 2</t>
  </si>
  <si>
    <t xml:space="preserve">Confirm Schema Validation</t>
  </si>
  <si>
    <t xml:space="preserve">Check Cell B5 to ensure columns have not been altered.</t>
  </si>
  <si>
    <t xml:space="preserve">Step 3</t>
  </si>
  <si>
    <t xml:space="preserve">Subsector Standardization</t>
  </si>
  <si>
    <t xml:space="preserve">Classify rows by 2-digit major sector and 3-digit NAICS subsector.</t>
  </si>
  <si>
    <t xml:space="preserve">Step 4</t>
  </si>
  <si>
    <t xml:space="preserve">Confidentiality Flags</t>
  </si>
  <si>
    <t xml:space="preserve">Where data is suppressed by ESD to protect employer privacy (denoted by '*'), enter 0 or leave blank and note in Remarks.</t>
  </si>
  <si>
    <t xml:space="preserve">Step 5</t>
  </si>
  <si>
    <t xml:space="preserve">Publish to SharePoint</t>
  </si>
  <si>
    <t xml:space="preserve">Save workbook to SharePoint Online.</t>
  </si>
  <si>
    <t xml:space="preserve">SCOG Annual Growth Monitoring Report — Master Employment Data</t>
  </si>
  <si>
    <t xml:space="preserve">Skagit County Covered Employment and Business Establishment Trends (ESD / QCEW)</t>
  </si>
  <si>
    <t xml:space="preserve">Record_ID</t>
  </si>
  <si>
    <t xml:space="preserve">Calendar_Year</t>
  </si>
  <si>
    <t xml:space="preserve">NAICS_2Digit_Code</t>
  </si>
  <si>
    <t xml:space="preserve">NAICS_3Digit_Code</t>
  </si>
  <si>
    <t xml:space="preserve">Industry_Subsector_Title</t>
  </si>
  <si>
    <t xml:space="preserve">Average_Establishments</t>
  </si>
  <si>
    <t xml:space="preserve">Annual_Average_Employment</t>
  </si>
  <si>
    <t xml:space="preserve">Q1_Employment</t>
  </si>
  <si>
    <t xml:space="preserve">Q2_Employment</t>
  </si>
  <si>
    <t xml:space="preserve">Q3_Employment</t>
  </si>
  <si>
    <t xml:space="preserve">Q4_Employment</t>
  </si>
  <si>
    <t xml:space="preserve">YoY_Employment_Change</t>
  </si>
  <si>
    <t xml:space="preserve">Data_Release_Status</t>
  </si>
  <si>
    <t xml:space="preserve">EMP-2025-001</t>
  </si>
  <si>
    <t xml:space="preserve">TOTAL</t>
  </si>
  <si>
    <t xml:space="preserve">Total Covered Employment (All Industries)</t>
  </si>
  <si>
    <t xml:space="preserve">Official Revised (ESD QCEW 2025 Annual Averages, Revised); Q1-Q4 = quarterly average of monthly employment</t>
  </si>
  <si>
    <t xml:space="preserve">EMP-2025-002</t>
  </si>
  <si>
    <t xml:space="preserve">11</t>
  </si>
  <si>
    <t xml:space="preserve">Agriculture, Forestry, Fishing and Hunting</t>
  </si>
  <si>
    <t xml:space="preserve">EMP-2025-003</t>
  </si>
  <si>
    <t xml:space="preserve">111</t>
  </si>
  <si>
    <t xml:space="preserve">Crop Production</t>
  </si>
  <si>
    <t xml:space="preserve">EMP-2025-004</t>
  </si>
  <si>
    <t xml:space="preserve">112</t>
  </si>
  <si>
    <t xml:space="preserve">Animal Production and Aquaculture</t>
  </si>
  <si>
    <t xml:space="preserve">EMP-2025-005</t>
  </si>
  <si>
    <t xml:space="preserve">23</t>
  </si>
  <si>
    <t xml:space="preserve">Construction</t>
  </si>
  <si>
    <t xml:space="preserve">EMP-2025-006</t>
  </si>
  <si>
    <t xml:space="preserve">31-33</t>
  </si>
  <si>
    <t xml:space="preserve">Manufacturing</t>
  </si>
  <si>
    <t xml:space="preserve">EMP-2025-007</t>
  </si>
  <si>
    <t xml:space="preserve">44-45</t>
  </si>
  <si>
    <t xml:space="preserve">Retail Trade</t>
  </si>
  <si>
    <t xml:space="preserve">EMP-2025-008</t>
  </si>
  <si>
    <t xml:space="preserve">62</t>
  </si>
  <si>
    <t xml:space="preserve">Healthcare and Social Assistance</t>
  </si>
  <si>
    <t xml:space="preserve">EMP-2025-009</t>
  </si>
  <si>
    <t xml:space="preserve">72</t>
  </si>
  <si>
    <t xml:space="preserve">Accommodation and Food Services</t>
  </si>
  <si>
    <t xml:space="preserve">EMP-2025-010</t>
  </si>
  <si>
    <t xml:space="preserve">GOV</t>
  </si>
  <si>
    <t xml:space="preserve">Federal Government</t>
  </si>
  <si>
    <t xml:space="preserve">EMP-2025-011</t>
  </si>
  <si>
    <t xml:space="preserve">State Government</t>
  </si>
  <si>
    <t xml:space="preserve">EMP-2025-012</t>
  </si>
  <si>
    <t xml:space="preserve">Local Government</t>
  </si>
  <si>
    <t xml:space="preserve">EMP-2026-001</t>
  </si>
  <si>
    <t xml:space="preserve">Preliminary — Q1 Only (ESD QCEW 2026Q1 Preliminary); annual average and Q2-Q4 not yet available</t>
  </si>
  <si>
    <t xml:space="preserve">EMP-2026-002</t>
  </si>
  <si>
    <t xml:space="preserve">EMP-2026-003</t>
  </si>
  <si>
    <t xml:space="preserve">EMP-2026-004</t>
  </si>
  <si>
    <t xml:space="preserve">EMP-2026-005</t>
  </si>
  <si>
    <t xml:space="preserve">EMP-2026-006</t>
  </si>
  <si>
    <t xml:space="preserve">EMP-2026-007</t>
  </si>
  <si>
    <t xml:space="preserve">EMP-2026-008</t>
  </si>
  <si>
    <t xml:space="preserve">EMP-2026-009</t>
  </si>
  <si>
    <t xml:space="preserve">EMP-2026-010</t>
  </si>
  <si>
    <t xml:space="preserve">EMP-2026-011</t>
  </si>
  <si>
    <t xml:space="preserve">EMP-2026-012</t>
  </si>
  <si>
    <t xml:space="preserve">Jurisdiction_Master</t>
  </si>
  <si>
    <t xml:space="preserve">UGA_Classification</t>
  </si>
  <si>
    <t xml:space="preserve">Official_Header_Schema</t>
  </si>
  <si>
    <t xml:space="preserve">Canonical_Signature_Key</t>
  </si>
  <si>
    <t xml:space="preserve">Anacortes</t>
  </si>
  <si>
    <t xml:space="preserve">Incorporated City/Town</t>
  </si>
  <si>
    <t xml:space="preserve">Record_ID|Calendar_Year|NAICS_2Digit_Code|NAICS_3Digit_Code|Industry_Subsector_Title|Average_Establishments|Annual_Average_Employment|Q1_Employment|Q2_Employment|Q3_Employment|Q4_Employment|YoY_Employment_Change|Data_Release_Status</t>
  </si>
  <si>
    <t xml:space="preserve">Burlington</t>
  </si>
  <si>
    <t xml:space="preserve">Urban Growth Area (UGA)</t>
  </si>
  <si>
    <t xml:space="preserve">Concrete</t>
  </si>
  <si>
    <t xml:space="preserve">Unincorporated Rural Area</t>
  </si>
  <si>
    <t xml:space="preserve">Hamilton</t>
  </si>
  <si>
    <t xml:space="preserve">La Conner</t>
  </si>
  <si>
    <t xml:space="preserve">Lyman</t>
  </si>
  <si>
    <t xml:space="preserve">Mount Vernon</t>
  </si>
  <si>
    <t xml:space="preserve">Sedro-Woolley</t>
  </si>
  <si>
    <t xml:space="preserve">Bay View Ridge UGA</t>
  </si>
  <si>
    <t xml:space="preserve">Swinomish UGA</t>
  </si>
  <si>
    <t xml:space="preserve">Unincorporated Skagit County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</si>
</sst>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\+#,##0;\-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F2942"/>
      <name val="Segoe UI"/>
      <family val="0"/>
      <charset val="1"/>
    </font>
    <font>
      <sz val="10.5"/>
      <color rgb="FF475569"/>
      <name val="Segoe UI"/>
      <family val="0"/>
      <charset val="1"/>
    </font>
    <font>
      <i val="true"/>
      <sz val="9"/>
      <color rgb="FF64748B"/>
      <name val="Segoe UI"/>
      <family val="0"/>
      <charset val="1"/>
    </font>
    <font>
      <b val="true"/>
      <sz val="11"/>
      <color rgb="FF0F2942"/>
      <name val="Segoe UI"/>
      <family val="0"/>
      <charset val="1"/>
    </font>
    <font>
      <b val="true"/>
      <sz val="9.5"/>
      <color rgb="FF0F172A"/>
      <name val="Segoe UI"/>
      <family val="0"/>
      <charset val="1"/>
    </font>
    <font>
      <sz val="9.5"/>
      <color rgb="FF0F172A"/>
      <name val="Segoe UI"/>
      <family val="0"/>
      <charset val="1"/>
    </font>
    <font>
      <b val="true"/>
      <sz val="10.5"/>
      <color rgb="FF166534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9.5"/>
      <color rgb="FF1E40AF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F5F9"/>
        <bgColor rgb="FFEFF6FF"/>
      </patternFill>
    </fill>
    <fill>
      <patternFill patternType="solid">
        <fgColor rgb="FFF8FAFC"/>
        <bgColor rgb="FFFFFFFF"/>
      </patternFill>
    </fill>
    <fill>
      <patternFill patternType="solid">
        <fgColor rgb="FFDCFCE7"/>
        <bgColor rgb="FFEFF6FF"/>
      </patternFill>
    </fill>
    <fill>
      <patternFill patternType="solid">
        <fgColor rgb="FF0F2942"/>
        <bgColor rgb="FF0F172A"/>
      </patternFill>
    </fill>
    <fill>
      <patternFill patternType="solid">
        <fgColor rgb="FFEFF6FF"/>
        <bgColor rgb="FFF1F5F9"/>
      </patternFill>
    </fill>
    <fill>
      <patternFill patternType="solid">
        <fgColor rgb="FF1E40AF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true"/>
    </xf>
    <xf numFmtId="164" fontId="10" fillId="4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F2942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name val="Segoe UI"/>
        <charset val="1"/>
        <family val="0"/>
        <b val="1"/>
        <color rgb="FF991B1B"/>
        <sz val="10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1F5F9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F2942"/>
      <rgbColor rgb="FF339966"/>
      <rgbColor rgb="FF0F172A"/>
      <rgbColor rgb="FF333300"/>
      <rgbColor rgb="FF991B1B"/>
      <rgbColor rgb="FF993366"/>
      <rgbColor rgb="FF1E40AF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Employment_QCEW_Master_Tbl" displayName="Employment_QCEW_Master_Tbl" ref="B8:N32" headerRowCount="1" totalsRowCount="0" totalsRowShown="0">
  <autoFilter ref="B8:N32"/>
  <tableColumns count="13">
    <tableColumn id="1" name="Record_ID"/>
    <tableColumn id="2" name="Calendar_Year"/>
    <tableColumn id="3" name="NAICS_2Digit_Code"/>
    <tableColumn id="4" name="NAICS_3Digit_Code"/>
    <tableColumn id="5" name="Industry_Subsector_Title"/>
    <tableColumn id="6" name="Average_Establishments"/>
    <tableColumn id="7" name="Annual_Average_Employment"/>
    <tableColumn id="8" name="Q1_Employment"/>
    <tableColumn id="9" name="Q2_Employment"/>
    <tableColumn id="10" name="Q3_Employment"/>
    <tableColumn id="11" name="Q4_Employment"/>
    <tableColumn id="12" name="YoY_Employment_Change"/>
    <tableColumn id="13" name="Data_Release_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75"/>
  </cols>
  <sheetData>
    <row r="2" customFormat="false" ht="22.5" hidden="false" customHeight="true" outlineLevel="0" collapsed="false">
      <c r="B2" s="1" t="s">
        <v>0</v>
      </c>
    </row>
    <row r="3" customFormat="false" ht="16.5" hidden="false" customHeight="true" outlineLevel="0" collapsed="false">
      <c r="B3" s="2" t="s">
        <v>1</v>
      </c>
    </row>
    <row r="4" customFormat="false" ht="15" hidden="false" customHeight="true" outlineLevel="0" collapsed="false">
      <c r="B4" s="3" t="s">
        <v>2</v>
      </c>
    </row>
    <row r="6" customFormat="false" ht="16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7.75" hidden="false" customHeight="true" outlineLevel="0" collapsed="false">
      <c r="B7" s="5" t="s">
        <v>4</v>
      </c>
      <c r="C7" s="6" t="s">
        <v>5</v>
      </c>
      <c r="D7" s="7" t="s">
        <v>6</v>
      </c>
      <c r="E7" s="7"/>
      <c r="F7" s="7"/>
      <c r="G7" s="7"/>
      <c r="H7" s="7"/>
    </row>
    <row r="8" customFormat="false" ht="27.75" hidden="false" customHeight="true" outlineLevel="0" collapsed="false">
      <c r="B8" s="5" t="s">
        <v>7</v>
      </c>
      <c r="C8" s="6" t="s">
        <v>8</v>
      </c>
      <c r="D8" s="7" t="s">
        <v>9</v>
      </c>
      <c r="E8" s="7"/>
      <c r="F8" s="7"/>
      <c r="G8" s="7"/>
      <c r="H8" s="7"/>
    </row>
    <row r="9" customFormat="false" ht="27.75" hidden="false" customHeight="true" outlineLevel="0" collapsed="false">
      <c r="B9" s="5" t="s">
        <v>10</v>
      </c>
      <c r="C9" s="6" t="s">
        <v>11</v>
      </c>
      <c r="D9" s="7" t="s">
        <v>12</v>
      </c>
      <c r="E9" s="7"/>
      <c r="F9" s="7"/>
      <c r="G9" s="7"/>
      <c r="H9" s="7"/>
    </row>
    <row r="10" customFormat="false" ht="27.75" hidden="false" customHeight="true" outlineLevel="0" collapsed="false">
      <c r="B10" s="5" t="s">
        <v>13</v>
      </c>
      <c r="C10" s="6" t="s">
        <v>14</v>
      </c>
      <c r="D10" s="7" t="s">
        <v>15</v>
      </c>
      <c r="E10" s="7"/>
      <c r="F10" s="7"/>
      <c r="G10" s="7"/>
      <c r="H10" s="7"/>
    </row>
    <row r="11" customFormat="false" ht="27.75" hidden="false" customHeight="true" outlineLevel="0" collapsed="false">
      <c r="B11" s="5" t="s">
        <v>16</v>
      </c>
      <c r="C11" s="6" t="s">
        <v>17</v>
      </c>
      <c r="D11" s="7" t="s">
        <v>18</v>
      </c>
      <c r="E11" s="7"/>
      <c r="F11" s="7"/>
      <c r="G11" s="7"/>
      <c r="H11" s="7"/>
    </row>
  </sheetData>
  <mergeCells count="6">
    <mergeCell ref="B6:H6"/>
    <mergeCell ref="D7:H7"/>
    <mergeCell ref="D8:H8"/>
    <mergeCell ref="D9:H9"/>
    <mergeCell ref="D10:H10"/>
    <mergeCell ref="D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5" min="4" style="0" width="18"/>
    <col collapsed="false" customWidth="true" hidden="false" outlineLevel="0" max="6" min="6" style="0" width="44"/>
    <col collapsed="false" customWidth="true" hidden="false" outlineLevel="0" max="7" min="7" style="0" width="22"/>
    <col collapsed="false" customWidth="true" hidden="false" outlineLevel="0" max="8" min="8" style="0" width="25"/>
    <col collapsed="false" customWidth="true" hidden="false" outlineLevel="0" max="12" min="9" style="0" width="16"/>
    <col collapsed="false" customWidth="true" hidden="false" outlineLevel="0" max="14" min="13" style="0" width="22"/>
  </cols>
  <sheetData>
    <row r="2" customFormat="false" ht="22.5" hidden="false" customHeight="true" outlineLevel="0" collapsed="false">
      <c r="B2" s="1" t="s">
        <v>19</v>
      </c>
    </row>
    <row r="3" customFormat="false" ht="16.5" hidden="false" customHeight="true" outlineLevel="0" collapsed="false">
      <c r="B3" s="2" t="s">
        <v>20</v>
      </c>
    </row>
    <row r="5" customFormat="false" ht="37.5" hidden="false" customHeight="true" outlineLevel="0" collapsed="false">
      <c r="B5" s="8" t="str">
        <f aca="false">IF(_xlfn.TEXTJOIN("|",TRUE(),B8:N8)=Ref_Lookup!$D$2, "✔ SCHEMA VALID: Columns Match Official Specification", "❌ SCHEMA ERROR: Column(s) altered: " &amp; _xlfn.TEXTJOIN(", ", TRUE(),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""))))</f>
        <v>✔ SCHEMA VALID: Columns Match Official Specification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customFormat="false" ht="24" hidden="false" customHeight="true" outlineLevel="0" collapsed="false">
      <c r="B6" s="9" t="str">
        <f aca="false">IF(SUM(G9:G50)&gt;0,"✔ INTEGRITY CHECK: Total Covered Employment Verified","⚠ INTEGRITY WARNING: Employment counts missing!")</f>
        <v>✔ INTEGRITY CHECK: Total Covered Employment Verified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customFormat="false" ht="9.75" hidden="false" customHeight="true" outlineLevel="0" collapsed="false"/>
    <row r="8" customFormat="false" ht="27.75" hidden="false" customHeight="true" outlineLevel="0" collapsed="false">
      <c r="B8" s="10" t="s">
        <v>21</v>
      </c>
      <c r="C8" s="10" t="s">
        <v>22</v>
      </c>
      <c r="D8" s="10" t="s">
        <v>23</v>
      </c>
      <c r="E8" s="10" t="s">
        <v>24</v>
      </c>
      <c r="F8" s="10" t="s">
        <v>25</v>
      </c>
      <c r="G8" s="10" t="s">
        <v>26</v>
      </c>
      <c r="H8" s="10" t="s">
        <v>27</v>
      </c>
      <c r="I8" s="10" t="s">
        <v>28</v>
      </c>
      <c r="J8" s="10" t="s">
        <v>29</v>
      </c>
      <c r="K8" s="10" t="s">
        <v>30</v>
      </c>
      <c r="L8" s="10" t="s">
        <v>31</v>
      </c>
      <c r="M8" s="10" t="s">
        <v>32</v>
      </c>
      <c r="N8" s="10" t="s">
        <v>33</v>
      </c>
    </row>
    <row r="9" customFormat="false" ht="21" hidden="false" customHeight="true" outlineLevel="0" collapsed="false">
      <c r="B9" s="11" t="s">
        <v>34</v>
      </c>
      <c r="C9" s="12" t="n">
        <v>2025</v>
      </c>
      <c r="D9" s="11" t="s">
        <v>35</v>
      </c>
      <c r="E9" s="12"/>
      <c r="F9" s="13" t="s">
        <v>36</v>
      </c>
      <c r="G9" s="14" t="n">
        <v>3663</v>
      </c>
      <c r="H9" s="15" t="n">
        <v>54148</v>
      </c>
      <c r="I9" s="14" t="n">
        <v>52930</v>
      </c>
      <c r="J9" s="14" t="n">
        <v>54910</v>
      </c>
      <c r="K9" s="14" t="n">
        <v>55213</v>
      </c>
      <c r="L9" s="14" t="n">
        <v>53539</v>
      </c>
      <c r="M9" s="16" t="str">
        <f aca="false">IFERROR(IF(SUMIFS($H$9:$H$200,$D$9:$D$200,D9,$E$9:$E$200,E9,$C$9:$C$200,C9-1)=0,"No Prior-Year Data",H9-SUMIFS($H$9:$H$200,$D$9:$D$200,D9,$E$9:$E$200,E9,$C$9:$C$200,C9-1)),"No Prior-Year Data")</f>
        <v>No Prior-Year Data</v>
      </c>
      <c r="N9" s="17" t="s">
        <v>37</v>
      </c>
    </row>
    <row r="10" customFormat="false" ht="21" hidden="false" customHeight="true" outlineLevel="0" collapsed="false">
      <c r="B10" s="18" t="s">
        <v>38</v>
      </c>
      <c r="C10" s="19" t="n">
        <v>2025</v>
      </c>
      <c r="D10" s="18" t="s">
        <v>39</v>
      </c>
      <c r="E10" s="19"/>
      <c r="F10" s="20" t="s">
        <v>40</v>
      </c>
      <c r="G10" s="21" t="n">
        <v>147</v>
      </c>
      <c r="H10" s="22" t="n">
        <v>2438</v>
      </c>
      <c r="I10" s="21" t="n">
        <v>1907</v>
      </c>
      <c r="J10" s="21" t="n">
        <v>2610</v>
      </c>
      <c r="K10" s="21" t="n">
        <v>3178</v>
      </c>
      <c r="L10" s="21" t="n">
        <v>2059</v>
      </c>
      <c r="M10" s="16" t="str">
        <f aca="false">IFERROR(IF(SUMIFS($H$9:$H$200,$D$9:$D$200,D10,$E$9:$E$200,E10,$C$9:$C$200,C10-1)=0,"No Prior-Year Data",H10-SUMIFS($H$9:$H$200,$D$9:$D$200,D10,$E$9:$E$200,E10,$C$9:$C$200,C10-1)),"No Prior-Year Data")</f>
        <v>No Prior-Year Data</v>
      </c>
      <c r="N10" s="23" t="s">
        <v>37</v>
      </c>
    </row>
    <row r="11" customFormat="false" ht="21" hidden="false" customHeight="true" outlineLevel="0" collapsed="false">
      <c r="B11" s="11" t="s">
        <v>41</v>
      </c>
      <c r="C11" s="12" t="n">
        <v>2025</v>
      </c>
      <c r="D11" s="12"/>
      <c r="E11" s="12" t="s">
        <v>42</v>
      </c>
      <c r="F11" s="24" t="s">
        <v>43</v>
      </c>
      <c r="G11" s="14" t="n">
        <v>93</v>
      </c>
      <c r="H11" s="15" t="n">
        <v>1846</v>
      </c>
      <c r="I11" s="14" t="n">
        <v>1445</v>
      </c>
      <c r="J11" s="14" t="n">
        <v>1823</v>
      </c>
      <c r="K11" s="14" t="n">
        <v>2509</v>
      </c>
      <c r="L11" s="14" t="n">
        <v>1607</v>
      </c>
      <c r="M11" s="16" t="str">
        <f aca="false">IFERROR(IF(SUMIFS($H$9:$H$200,$D$9:$D$200,D11,$E$9:$E$200,E11,$C$9:$C$200,C11-1)=0,"No Prior-Year Data",H11-SUMIFS($H$9:$H$200,$D$9:$D$200,D11,$E$9:$E$200,E11,$C$9:$C$200,C11-1)),"No Prior-Year Data")</f>
        <v>No Prior-Year Data</v>
      </c>
      <c r="N11" s="17" t="s">
        <v>37</v>
      </c>
    </row>
    <row r="12" customFormat="false" ht="21" hidden="false" customHeight="true" outlineLevel="0" collapsed="false">
      <c r="B12" s="18" t="s">
        <v>44</v>
      </c>
      <c r="C12" s="19" t="n">
        <v>2025</v>
      </c>
      <c r="D12" s="19"/>
      <c r="E12" s="19" t="s">
        <v>45</v>
      </c>
      <c r="F12" s="25" t="s">
        <v>46</v>
      </c>
      <c r="G12" s="21" t="n">
        <v>33</v>
      </c>
      <c r="H12" s="22" t="n">
        <v>236</v>
      </c>
      <c r="I12" s="21" t="n">
        <v>240</v>
      </c>
      <c r="J12" s="21" t="n">
        <v>242</v>
      </c>
      <c r="K12" s="21" t="n">
        <v>235</v>
      </c>
      <c r="L12" s="21" t="n">
        <v>229</v>
      </c>
      <c r="M12" s="16" t="str">
        <f aca="false">IFERROR(IF(SUMIFS($H$9:$H$200,$D$9:$D$200,D12,$E$9:$E$200,E12,$C$9:$C$200,C12-1)=0,"No Prior-Year Data",H12-SUMIFS($H$9:$H$200,$D$9:$D$200,D12,$E$9:$E$200,E12,$C$9:$C$200,C12-1)),"No Prior-Year Data")</f>
        <v>No Prior-Year Data</v>
      </c>
      <c r="N12" s="23" t="s">
        <v>37</v>
      </c>
    </row>
    <row r="13" customFormat="false" ht="21" hidden="false" customHeight="true" outlineLevel="0" collapsed="false">
      <c r="B13" s="11" t="s">
        <v>47</v>
      </c>
      <c r="C13" s="12" t="n">
        <v>2025</v>
      </c>
      <c r="D13" s="11" t="s">
        <v>48</v>
      </c>
      <c r="E13" s="12"/>
      <c r="F13" s="13" t="s">
        <v>49</v>
      </c>
      <c r="G13" s="14" t="n">
        <v>563</v>
      </c>
      <c r="H13" s="15" t="n">
        <v>4372</v>
      </c>
      <c r="I13" s="14" t="n">
        <v>4362</v>
      </c>
      <c r="J13" s="14" t="n">
        <v>4471</v>
      </c>
      <c r="K13" s="14" t="n">
        <v>4424</v>
      </c>
      <c r="L13" s="14" t="n">
        <v>4231</v>
      </c>
      <c r="M13" s="16" t="str">
        <f aca="false">IFERROR(IF(SUMIFS($H$9:$H$200,$D$9:$D$200,D13,$E$9:$E$200,E13,$C$9:$C$200,C13-1)=0,"No Prior-Year Data",H13-SUMIFS($H$9:$H$200,$D$9:$D$200,D13,$E$9:$E$200,E13,$C$9:$C$200,C13-1)),"No Prior-Year Data")</f>
        <v>No Prior-Year Data</v>
      </c>
      <c r="N13" s="17" t="s">
        <v>37</v>
      </c>
    </row>
    <row r="14" customFormat="false" ht="21" hidden="false" customHeight="true" outlineLevel="0" collapsed="false">
      <c r="B14" s="18" t="s">
        <v>50</v>
      </c>
      <c r="C14" s="19" t="n">
        <v>2025</v>
      </c>
      <c r="D14" s="18" t="s">
        <v>51</v>
      </c>
      <c r="E14" s="19"/>
      <c r="F14" s="20" t="s">
        <v>52</v>
      </c>
      <c r="G14" s="21" t="n">
        <v>175</v>
      </c>
      <c r="H14" s="22" t="n">
        <v>6499</v>
      </c>
      <c r="I14" s="21" t="n">
        <v>6347</v>
      </c>
      <c r="J14" s="21" t="n">
        <v>6462</v>
      </c>
      <c r="K14" s="21" t="n">
        <v>6652</v>
      </c>
      <c r="L14" s="21" t="n">
        <v>6533</v>
      </c>
      <c r="M14" s="16" t="str">
        <f aca="false">IFERROR(IF(SUMIFS($H$9:$H$200,$D$9:$D$200,D14,$E$9:$E$200,E14,$C$9:$C$200,C14-1)=0,"No Prior-Year Data",H14-SUMIFS($H$9:$H$200,$D$9:$D$200,D14,$E$9:$E$200,E14,$C$9:$C$200,C14-1)),"No Prior-Year Data")</f>
        <v>No Prior-Year Data</v>
      </c>
      <c r="N14" s="23" t="s">
        <v>37</v>
      </c>
    </row>
    <row r="15" customFormat="false" ht="21" hidden="false" customHeight="true" outlineLevel="0" collapsed="false">
      <c r="B15" s="11" t="s">
        <v>53</v>
      </c>
      <c r="C15" s="12" t="n">
        <v>2025</v>
      </c>
      <c r="D15" s="11" t="s">
        <v>54</v>
      </c>
      <c r="E15" s="12"/>
      <c r="F15" s="13" t="s">
        <v>55</v>
      </c>
      <c r="G15" s="14" t="n">
        <v>403</v>
      </c>
      <c r="H15" s="15" t="n">
        <v>6568</v>
      </c>
      <c r="I15" s="14" t="n">
        <v>6548</v>
      </c>
      <c r="J15" s="14" t="n">
        <v>6667</v>
      </c>
      <c r="K15" s="14" t="n">
        <v>6504</v>
      </c>
      <c r="L15" s="14" t="n">
        <v>6555</v>
      </c>
      <c r="M15" s="16" t="str">
        <f aca="false">IFERROR(IF(SUMIFS($H$9:$H$200,$D$9:$D$200,D15,$E$9:$E$200,E15,$C$9:$C$200,C15-1)=0,"No Prior-Year Data",H15-SUMIFS($H$9:$H$200,$D$9:$D$200,D15,$E$9:$E$200,E15,$C$9:$C$200,C15-1)),"No Prior-Year Data")</f>
        <v>No Prior-Year Data</v>
      </c>
      <c r="N15" s="17" t="s">
        <v>37</v>
      </c>
    </row>
    <row r="16" customFormat="false" ht="21" hidden="false" customHeight="true" outlineLevel="0" collapsed="false">
      <c r="B16" s="18" t="s">
        <v>56</v>
      </c>
      <c r="C16" s="19" t="n">
        <v>2025</v>
      </c>
      <c r="D16" s="18" t="s">
        <v>57</v>
      </c>
      <c r="E16" s="19"/>
      <c r="F16" s="20" t="s">
        <v>58</v>
      </c>
      <c r="G16" s="21" t="n">
        <v>343</v>
      </c>
      <c r="H16" s="22" t="n">
        <v>5485</v>
      </c>
      <c r="I16" s="21" t="n">
        <v>5440</v>
      </c>
      <c r="J16" s="21" t="n">
        <v>5489</v>
      </c>
      <c r="K16" s="21" t="n">
        <v>5470</v>
      </c>
      <c r="L16" s="21" t="n">
        <v>5541</v>
      </c>
      <c r="M16" s="16" t="str">
        <f aca="false">IFERROR(IF(SUMIFS($H$9:$H$200,$D$9:$D$200,D16,$E$9:$E$200,E16,$C$9:$C$200,C16-1)=0,"No Prior-Year Data",H16-SUMIFS($H$9:$H$200,$D$9:$D$200,D16,$E$9:$E$200,E16,$C$9:$C$200,C16-1)),"No Prior-Year Data")</f>
        <v>No Prior-Year Data</v>
      </c>
      <c r="N16" s="23" t="s">
        <v>37</v>
      </c>
    </row>
    <row r="17" customFormat="false" ht="21" hidden="false" customHeight="true" outlineLevel="0" collapsed="false">
      <c r="B17" s="11" t="s">
        <v>59</v>
      </c>
      <c r="C17" s="12" t="n">
        <v>2025</v>
      </c>
      <c r="D17" s="11" t="s">
        <v>60</v>
      </c>
      <c r="E17" s="12"/>
      <c r="F17" s="13" t="s">
        <v>61</v>
      </c>
      <c r="G17" s="14" t="n">
        <v>349</v>
      </c>
      <c r="H17" s="15" t="n">
        <v>4460</v>
      </c>
      <c r="I17" s="14" t="n">
        <v>4269</v>
      </c>
      <c r="J17" s="14" t="n">
        <v>4602</v>
      </c>
      <c r="K17" s="14" t="n">
        <v>4646</v>
      </c>
      <c r="L17" s="14" t="n">
        <v>4322</v>
      </c>
      <c r="M17" s="16" t="str">
        <f aca="false">IFERROR(IF(SUMIFS($H$9:$H$200,$D$9:$D$200,D17,$E$9:$E$200,E17,$C$9:$C$200,C17-1)=0,"No Prior-Year Data",H17-SUMIFS($H$9:$H$200,$D$9:$D$200,D17,$E$9:$E$200,E17,$C$9:$C$200,C17-1)),"No Prior-Year Data")</f>
        <v>No Prior-Year Data</v>
      </c>
      <c r="N17" s="17" t="s">
        <v>37</v>
      </c>
    </row>
    <row r="18" customFormat="false" ht="21" hidden="false" customHeight="true" outlineLevel="0" collapsed="false">
      <c r="B18" s="18" t="s">
        <v>62</v>
      </c>
      <c r="C18" s="19" t="n">
        <v>2025</v>
      </c>
      <c r="D18" s="18" t="s">
        <v>63</v>
      </c>
      <c r="E18" s="19"/>
      <c r="F18" s="20" t="s">
        <v>64</v>
      </c>
      <c r="G18" s="21" t="n">
        <v>11</v>
      </c>
      <c r="H18" s="22" t="n">
        <v>376</v>
      </c>
      <c r="I18" s="21" t="n">
        <v>340</v>
      </c>
      <c r="J18" s="21" t="n">
        <v>394</v>
      </c>
      <c r="K18" s="21" t="n">
        <v>411</v>
      </c>
      <c r="L18" s="21" t="n">
        <v>360</v>
      </c>
      <c r="M18" s="16" t="str">
        <f aca="false">IFERROR(IF(SUMIFS($H$9:$H$200,$D$9:$D$200,D18,$E$9:$E$200,E18,$C$9:$C$200,C18-1)=0,"No Prior-Year Data",H18-SUMIFS($H$9:$H$200,$D$9:$D$200,D18,$E$9:$E$200,E18,$C$9:$C$200,C18-1)),"No Prior-Year Data")</f>
        <v>No Prior-Year Data</v>
      </c>
      <c r="N18" s="23" t="s">
        <v>37</v>
      </c>
    </row>
    <row r="19" customFormat="false" ht="14.25" hidden="false" customHeight="false" outlineLevel="0" collapsed="false">
      <c r="B19" s="26" t="s">
        <v>65</v>
      </c>
      <c r="C19" s="26" t="n">
        <v>2025</v>
      </c>
      <c r="D19" s="26" t="s">
        <v>63</v>
      </c>
      <c r="E19" s="26"/>
      <c r="F19" s="26" t="s">
        <v>66</v>
      </c>
      <c r="G19" s="27" t="n">
        <v>35</v>
      </c>
      <c r="H19" s="27" t="n">
        <v>1335</v>
      </c>
      <c r="I19" s="27" t="n">
        <v>1304</v>
      </c>
      <c r="J19" s="27" t="n">
        <v>1381</v>
      </c>
      <c r="K19" s="27" t="n">
        <v>1304</v>
      </c>
      <c r="L19" s="27" t="n">
        <v>1353</v>
      </c>
      <c r="M19" s="28" t="str">
        <f aca="false">IFERROR(IF(SUMIFS($H$9:$H$200,$D$9:$D$200,D19,$E$9:$E$200,E19,$C$9:$C$200,C19-1)=0,"No Prior-Year Data",H19-SUMIFS($H$9:$H$200,$D$9:$D$200,D19,$E$9:$E$200,E19,$C$9:$C$200,C19-1)),"No Prior-Year Data")</f>
        <v>No Prior-Year Data</v>
      </c>
      <c r="N19" s="26" t="s">
        <v>37</v>
      </c>
    </row>
    <row r="20" customFormat="false" ht="14.25" hidden="false" customHeight="false" outlineLevel="0" collapsed="false">
      <c r="B20" s="26" t="s">
        <v>67</v>
      </c>
      <c r="C20" s="26" t="n">
        <v>2025</v>
      </c>
      <c r="D20" s="26" t="s">
        <v>63</v>
      </c>
      <c r="E20" s="26"/>
      <c r="F20" s="26" t="s">
        <v>68</v>
      </c>
      <c r="G20" s="27" t="n">
        <v>68</v>
      </c>
      <c r="H20" s="27" t="n">
        <v>11048</v>
      </c>
      <c r="I20" s="27" t="n">
        <v>11075</v>
      </c>
      <c r="J20" s="27" t="n">
        <v>11156</v>
      </c>
      <c r="K20" s="27" t="n">
        <v>10795</v>
      </c>
      <c r="L20" s="27" t="n">
        <v>11165</v>
      </c>
      <c r="M20" s="28" t="str">
        <f aca="false">IFERROR(IF(SUMIFS($H$9:$H$200,$D$9:$D$200,D20,$E$9:$E$200,E20,$C$9:$C$200,C20-1)=0,"No Prior-Year Data",H20-SUMIFS($H$9:$H$200,$D$9:$D$200,D20,$E$9:$E$200,E20,$C$9:$C$200,C20-1)),"No Prior-Year Data")</f>
        <v>No Prior-Year Data</v>
      </c>
      <c r="N20" s="26" t="s">
        <v>37</v>
      </c>
    </row>
    <row r="21" customFormat="false" ht="14.25" hidden="false" customHeight="false" outlineLevel="0" collapsed="false">
      <c r="B21" s="26" t="s">
        <v>69</v>
      </c>
      <c r="C21" s="26" t="n">
        <v>2026</v>
      </c>
      <c r="D21" s="26" t="s">
        <v>35</v>
      </c>
      <c r="E21" s="26"/>
      <c r="F21" s="26" t="s">
        <v>36</v>
      </c>
      <c r="G21" s="27" t="n">
        <v>3584</v>
      </c>
      <c r="H21" s="27"/>
      <c r="I21" s="27" t="n">
        <v>53034</v>
      </c>
      <c r="J21" s="27"/>
      <c r="K21" s="27"/>
      <c r="L21" s="27"/>
      <c r="M21" s="28" t="str">
        <f aca="false">IFERROR(IF(SUMIFS($I$9:$I$200,$D$9:$D$200,D21,$E$9:$E$200,E21,$C$9:$C$200,C21-1)=0,"No Prior-Year Q1 Data",I21-SUMIFS($I$9:$I$200,$D$9:$D$200,D21,$E$9:$E$200,E21,$C$9:$C$200,C21-1)),"No Prior-Year Q1 Data")</f>
        <v>No Prior-Year Q1 Data</v>
      </c>
      <c r="N21" s="26" t="s">
        <v>70</v>
      </c>
    </row>
    <row r="22" customFormat="false" ht="14.25" hidden="false" customHeight="false" outlineLevel="0" collapsed="false">
      <c r="B22" s="26" t="s">
        <v>71</v>
      </c>
      <c r="C22" s="26" t="n">
        <v>2026</v>
      </c>
      <c r="D22" s="26" t="s">
        <v>39</v>
      </c>
      <c r="E22" s="26"/>
      <c r="F22" s="26" t="s">
        <v>40</v>
      </c>
      <c r="G22" s="27" t="n">
        <v>139</v>
      </c>
      <c r="H22" s="27"/>
      <c r="I22" s="27" t="n">
        <v>1958</v>
      </c>
      <c r="J22" s="27"/>
      <c r="K22" s="27"/>
      <c r="L22" s="27"/>
      <c r="M22" s="28" t="str">
        <f aca="false">IFERROR(IF(SUMIFS($I$9:$I$200,$D$9:$D$200,D22,$E$9:$E$200,E22,$C$9:$C$200,C22-1)=0,"No Prior-Year Q1 Data",I22-SUMIFS($I$9:$I$200,$D$9:$D$200,D22,$E$9:$E$200,E22,$C$9:$C$200,C22-1)),"No Prior-Year Q1 Data")</f>
        <v>No Prior-Year Q1 Data</v>
      </c>
      <c r="N22" s="26" t="s">
        <v>70</v>
      </c>
    </row>
    <row r="23" customFormat="false" ht="14.25" hidden="false" customHeight="false" outlineLevel="0" collapsed="false">
      <c r="B23" s="26" t="s">
        <v>72</v>
      </c>
      <c r="C23" s="26" t="n">
        <v>2026</v>
      </c>
      <c r="D23" s="26"/>
      <c r="E23" s="26" t="s">
        <v>42</v>
      </c>
      <c r="F23" s="26" t="s">
        <v>43</v>
      </c>
      <c r="G23" s="27" t="n">
        <v>90</v>
      </c>
      <c r="H23" s="27"/>
      <c r="I23" s="27" t="n">
        <v>1535</v>
      </c>
      <c r="J23" s="27"/>
      <c r="K23" s="27"/>
      <c r="L23" s="27"/>
      <c r="M23" s="28" t="str">
        <f aca="false">IFERROR(IF(SUMIFS($I$9:$I$200,$D$9:$D$200,D23,$E$9:$E$200,E23,$C$9:$C$200,C23-1)=0,"No Prior-Year Q1 Data",I23-SUMIFS($I$9:$I$200,$D$9:$D$200,D23,$E$9:$E$200,E23,$C$9:$C$200,C23-1)),"No Prior-Year Q1 Data")</f>
        <v>No Prior-Year Q1 Data</v>
      </c>
      <c r="N23" s="26" t="s">
        <v>70</v>
      </c>
    </row>
    <row r="24" customFormat="false" ht="14.25" hidden="false" customHeight="false" outlineLevel="0" collapsed="false">
      <c r="B24" s="26" t="s">
        <v>73</v>
      </c>
      <c r="C24" s="26" t="n">
        <v>2026</v>
      </c>
      <c r="D24" s="26"/>
      <c r="E24" s="26" t="s">
        <v>45</v>
      </c>
      <c r="F24" s="26" t="s">
        <v>46</v>
      </c>
      <c r="G24" s="27" t="n">
        <v>29</v>
      </c>
      <c r="H24" s="27"/>
      <c r="I24" s="27" t="n">
        <v>217</v>
      </c>
      <c r="J24" s="27"/>
      <c r="K24" s="27"/>
      <c r="L24" s="27"/>
      <c r="M24" s="28" t="str">
        <f aca="false">IFERROR(IF(SUMIFS($I$9:$I$200,$D$9:$D$200,D24,$E$9:$E$200,E24,$C$9:$C$200,C24-1)=0,"No Prior-Year Q1 Data",I24-SUMIFS($I$9:$I$200,$D$9:$D$200,D24,$E$9:$E$200,E24,$C$9:$C$200,C24-1)),"No Prior-Year Q1 Data")</f>
        <v>No Prior-Year Q1 Data</v>
      </c>
      <c r="N24" s="26" t="s">
        <v>70</v>
      </c>
    </row>
    <row r="25" customFormat="false" ht="14.25" hidden="false" customHeight="false" outlineLevel="0" collapsed="false">
      <c r="B25" s="26" t="s">
        <v>74</v>
      </c>
      <c r="C25" s="26" t="n">
        <v>2026</v>
      </c>
      <c r="D25" s="26" t="s">
        <v>48</v>
      </c>
      <c r="E25" s="26"/>
      <c r="F25" s="26" t="s">
        <v>49</v>
      </c>
      <c r="G25" s="27" t="n">
        <v>544</v>
      </c>
      <c r="H25" s="27"/>
      <c r="I25" s="27" t="n">
        <v>3930</v>
      </c>
      <c r="J25" s="27"/>
      <c r="K25" s="27"/>
      <c r="L25" s="27"/>
      <c r="M25" s="28" t="str">
        <f aca="false">IFERROR(IF(SUMIFS($I$9:$I$200,$D$9:$D$200,D25,$E$9:$E$200,E25,$C$9:$C$200,C25-1)=0,"No Prior-Year Q1 Data",I25-SUMIFS($I$9:$I$200,$D$9:$D$200,D25,$E$9:$E$200,E25,$C$9:$C$200,C25-1)),"No Prior-Year Q1 Data")</f>
        <v>No Prior-Year Q1 Data</v>
      </c>
      <c r="N25" s="26" t="s">
        <v>70</v>
      </c>
    </row>
    <row r="26" customFormat="false" ht="14.25" hidden="false" customHeight="false" outlineLevel="0" collapsed="false">
      <c r="B26" s="26" t="s">
        <v>75</v>
      </c>
      <c r="C26" s="26" t="n">
        <v>2026</v>
      </c>
      <c r="D26" s="26" t="s">
        <v>51</v>
      </c>
      <c r="E26" s="26"/>
      <c r="F26" s="26" t="s">
        <v>52</v>
      </c>
      <c r="G26" s="27" t="n">
        <v>174</v>
      </c>
      <c r="H26" s="27"/>
      <c r="I26" s="27" t="n">
        <v>6907</v>
      </c>
      <c r="J26" s="27"/>
      <c r="K26" s="27"/>
      <c r="L26" s="27"/>
      <c r="M26" s="28" t="str">
        <f aca="false">IFERROR(IF(SUMIFS($I$9:$I$200,$D$9:$D$200,D26,$E$9:$E$200,E26,$C$9:$C$200,C26-1)=0,"No Prior-Year Q1 Data",I26-SUMIFS($I$9:$I$200,$D$9:$D$200,D26,$E$9:$E$200,E26,$C$9:$C$200,C26-1)),"No Prior-Year Q1 Data")</f>
        <v>No Prior-Year Q1 Data</v>
      </c>
      <c r="N26" s="26" t="s">
        <v>70</v>
      </c>
    </row>
    <row r="27" customFormat="false" ht="14.25" hidden="false" customHeight="false" outlineLevel="0" collapsed="false">
      <c r="B27" s="26" t="s">
        <v>76</v>
      </c>
      <c r="C27" s="26" t="n">
        <v>2026</v>
      </c>
      <c r="D27" s="26" t="s">
        <v>54</v>
      </c>
      <c r="E27" s="26"/>
      <c r="F27" s="26" t="s">
        <v>55</v>
      </c>
      <c r="G27" s="27" t="n">
        <v>397</v>
      </c>
      <c r="H27" s="27"/>
      <c r="I27" s="27" t="n">
        <v>6344</v>
      </c>
      <c r="J27" s="27"/>
      <c r="K27" s="27"/>
      <c r="L27" s="27"/>
      <c r="M27" s="28" t="str">
        <f aca="false">IFERROR(IF(SUMIFS($I$9:$I$200,$D$9:$D$200,D27,$E$9:$E$200,E27,$C$9:$C$200,C27-1)=0,"No Prior-Year Q1 Data",I27-SUMIFS($I$9:$I$200,$D$9:$D$200,D27,$E$9:$E$200,E27,$C$9:$C$200,C27-1)),"No Prior-Year Q1 Data")</f>
        <v>No Prior-Year Q1 Data</v>
      </c>
      <c r="N27" s="26" t="s">
        <v>70</v>
      </c>
    </row>
    <row r="28" customFormat="false" ht="14.25" hidden="false" customHeight="false" outlineLevel="0" collapsed="false">
      <c r="B28" s="26" t="s">
        <v>77</v>
      </c>
      <c r="C28" s="26" t="n">
        <v>2026</v>
      </c>
      <c r="D28" s="26" t="s">
        <v>57</v>
      </c>
      <c r="E28" s="26"/>
      <c r="F28" s="26" t="s">
        <v>58</v>
      </c>
      <c r="G28" s="27" t="n">
        <v>321</v>
      </c>
      <c r="H28" s="27"/>
      <c r="I28" s="27" t="n">
        <v>5469</v>
      </c>
      <c r="J28" s="27"/>
      <c r="K28" s="27"/>
      <c r="L28" s="27"/>
      <c r="M28" s="28" t="str">
        <f aca="false">IFERROR(IF(SUMIFS($I$9:$I$200,$D$9:$D$200,D28,$E$9:$E$200,E28,$C$9:$C$200,C28-1)=0,"No Prior-Year Q1 Data",I28-SUMIFS($I$9:$I$200,$D$9:$D$200,D28,$E$9:$E$200,E28,$C$9:$C$200,C28-1)),"No Prior-Year Q1 Data")</f>
        <v>No Prior-Year Q1 Data</v>
      </c>
      <c r="N28" s="26" t="s">
        <v>70</v>
      </c>
    </row>
    <row r="29" customFormat="false" ht="14.25" hidden="false" customHeight="false" outlineLevel="0" collapsed="false">
      <c r="B29" s="26" t="s">
        <v>78</v>
      </c>
      <c r="C29" s="26" t="n">
        <v>2026</v>
      </c>
      <c r="D29" s="26" t="s">
        <v>60</v>
      </c>
      <c r="E29" s="26"/>
      <c r="F29" s="26" t="s">
        <v>61</v>
      </c>
      <c r="G29" s="27" t="n">
        <v>361</v>
      </c>
      <c r="H29" s="27"/>
      <c r="I29" s="27" t="n">
        <v>4430</v>
      </c>
      <c r="J29" s="27"/>
      <c r="K29" s="27"/>
      <c r="L29" s="27"/>
      <c r="M29" s="28" t="str">
        <f aca="false">IFERROR(IF(SUMIFS($I$9:$I$200,$D$9:$D$200,D29,$E$9:$E$200,E29,$C$9:$C$200,C29-1)=0,"No Prior-Year Q1 Data",I29-SUMIFS($I$9:$I$200,$D$9:$D$200,D29,$E$9:$E$200,E29,$C$9:$C$200,C29-1)),"No Prior-Year Q1 Data")</f>
        <v>No Prior-Year Q1 Data</v>
      </c>
      <c r="N29" s="26" t="s">
        <v>70</v>
      </c>
    </row>
    <row r="30" customFormat="false" ht="14.25" hidden="false" customHeight="false" outlineLevel="0" collapsed="false">
      <c r="B30" s="26" t="s">
        <v>79</v>
      </c>
      <c r="C30" s="26" t="n">
        <v>2026</v>
      </c>
      <c r="D30" s="26" t="s">
        <v>63</v>
      </c>
      <c r="E30" s="26"/>
      <c r="F30" s="26" t="s">
        <v>64</v>
      </c>
      <c r="G30" s="27" t="n">
        <v>10</v>
      </c>
      <c r="H30" s="27"/>
      <c r="I30" s="27" t="n">
        <v>326</v>
      </c>
      <c r="J30" s="27"/>
      <c r="K30" s="27"/>
      <c r="L30" s="27"/>
      <c r="M30" s="28" t="str">
        <f aca="false">IFERROR(IF(SUMIFS($I$9:$I$200,$D$9:$D$200,D30,$E$9:$E$200,E30,$C$9:$C$200,C30-1)=0,"No Prior-Year Q1 Data",I30-SUMIFS($I$9:$I$200,$D$9:$D$200,D30,$E$9:$E$200,E30,$C$9:$C$200,C30-1)),"No Prior-Year Q1 Data")</f>
        <v>No Prior-Year Q1 Data</v>
      </c>
      <c r="N30" s="26" t="s">
        <v>70</v>
      </c>
    </row>
    <row r="31" customFormat="false" ht="14.25" hidden="false" customHeight="false" outlineLevel="0" collapsed="false">
      <c r="B31" s="26" t="s">
        <v>80</v>
      </c>
      <c r="C31" s="26" t="n">
        <v>2026</v>
      </c>
      <c r="D31" s="26" t="s">
        <v>63</v>
      </c>
      <c r="E31" s="26"/>
      <c r="F31" s="26" t="s">
        <v>66</v>
      </c>
      <c r="G31" s="27" t="n">
        <v>34</v>
      </c>
      <c r="H31" s="27"/>
      <c r="I31" s="27" t="n">
        <v>1341</v>
      </c>
      <c r="J31" s="27"/>
      <c r="K31" s="27"/>
      <c r="L31" s="27"/>
      <c r="M31" s="28" t="str">
        <f aca="false">IFERROR(IF(SUMIFS($I$9:$I$200,$D$9:$D$200,D31,$E$9:$E$200,E31,$C$9:$C$200,C31-1)=0,"No Prior-Year Q1 Data",I31-SUMIFS($I$9:$I$200,$D$9:$D$200,D31,$E$9:$E$200,E31,$C$9:$C$200,C31-1)),"No Prior-Year Q1 Data")</f>
        <v>No Prior-Year Q1 Data</v>
      </c>
      <c r="N31" s="26" t="s">
        <v>70</v>
      </c>
    </row>
    <row r="32" customFormat="false" ht="14.25" hidden="false" customHeight="false" outlineLevel="0" collapsed="false">
      <c r="B32" s="26" t="s">
        <v>81</v>
      </c>
      <c r="C32" s="26" t="n">
        <v>2026</v>
      </c>
      <c r="D32" s="26" t="s">
        <v>63</v>
      </c>
      <c r="E32" s="26"/>
      <c r="F32" s="26" t="s">
        <v>68</v>
      </c>
      <c r="G32" s="27" t="n">
        <v>69</v>
      </c>
      <c r="H32" s="27"/>
      <c r="I32" s="27" t="n">
        <v>11328</v>
      </c>
      <c r="J32" s="27"/>
      <c r="K32" s="27"/>
      <c r="L32" s="27"/>
      <c r="M32" s="28" t="str">
        <f aca="false">IFERROR(IF(SUMIFS($I$9:$I$200,$D$9:$D$200,D32,$E$9:$E$200,E32,$C$9:$C$200,C32-1)=0,"No Prior-Year Q1 Data",I32-SUMIFS($I$9:$I$200,$D$9:$D$200,D32,$E$9:$E$200,E32,$C$9:$C$200,C32-1)),"No Prior-Year Q1 Data")</f>
        <v>No Prior-Year Q1 Data</v>
      </c>
      <c r="N32" s="26" t="s">
        <v>70</v>
      </c>
    </row>
    <row r="33" customFormat="false" ht="14.25" hidden="false" customHeight="false" outlineLevel="0" collapsed="false"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8"/>
      <c r="N33" s="26"/>
    </row>
    <row r="34" customFormat="false" ht="14.25" hidden="false" customHeight="false" outlineLevel="0" collapsed="false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8"/>
      <c r="N34" s="26"/>
    </row>
    <row r="35" customFormat="false" ht="14.25" hidden="false" customHeight="false" outlineLevel="0" collapsed="false"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8"/>
      <c r="N35" s="26"/>
    </row>
    <row r="36" customFormat="false" ht="14.25" hidden="false" customHeight="false" outlineLevel="0" collapsed="false"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8"/>
      <c r="N36" s="26"/>
    </row>
    <row r="37" customFormat="false" ht="14.25" hidden="false" customHeight="false" outlineLevel="0" collapsed="false"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8"/>
      <c r="N37" s="26"/>
    </row>
    <row r="38" customFormat="false" ht="14.25" hidden="false" customHeight="false" outlineLevel="0" collapsed="false"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8"/>
      <c r="N38" s="26"/>
    </row>
    <row r="39" customFormat="false" ht="14.25" hidden="false" customHeight="false" outlineLevel="0" collapsed="false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8"/>
      <c r="N39" s="26"/>
    </row>
    <row r="40" customFormat="false" ht="14.25" hidden="false" customHeight="false" outlineLevel="0" collapsed="false"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8"/>
      <c r="N40" s="26"/>
    </row>
    <row r="41" customFormat="false" ht="14.25" hidden="false" customHeight="false" outlineLevel="0" collapsed="false"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8"/>
      <c r="N41" s="26"/>
    </row>
    <row r="42" customFormat="false" ht="14.25" hidden="false" customHeight="false" outlineLevel="0" collapsed="false"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8"/>
      <c r="N42" s="26"/>
    </row>
    <row r="43" customFormat="false" ht="14.25" hidden="false" customHeight="false" outlineLevel="0" collapsed="false"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8"/>
      <c r="N43" s="26"/>
    </row>
    <row r="44" customFormat="false" ht="14.25" hidden="false" customHeight="false" outlineLevel="0" collapsed="false"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8"/>
      <c r="N44" s="26"/>
    </row>
    <row r="45" customFormat="false" ht="14.25" hidden="false" customHeight="false" outlineLevel="0" collapsed="false"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8"/>
      <c r="N45" s="26"/>
    </row>
    <row r="46" customFormat="false" ht="14.25" hidden="false" customHeight="false" outlineLevel="0" collapsed="false"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8"/>
      <c r="N46" s="26"/>
    </row>
    <row r="47" customFormat="false" ht="14.25" hidden="false" customHeight="false" outlineLevel="0" collapsed="false"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8"/>
      <c r="N47" s="26"/>
    </row>
    <row r="48" customFormat="false" ht="14.25" hidden="false" customHeight="false" outlineLevel="0" collapsed="false"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8"/>
      <c r="N48" s="26"/>
    </row>
    <row r="49" customFormat="false" ht="14.25" hidden="false" customHeight="false" outlineLevel="0" collapsed="false"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8"/>
      <c r="N49" s="26"/>
    </row>
    <row r="50" customFormat="false" ht="14.25" hidden="false" customHeight="false" outlineLevel="0" collapsed="false"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8"/>
      <c r="N50" s="26"/>
    </row>
    <row r="51" customFormat="false" ht="14.25" hidden="false" customHeight="false" outlineLevel="0" collapsed="false"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8"/>
      <c r="N51" s="26"/>
    </row>
    <row r="52" customFormat="false" ht="14.25" hidden="false" customHeight="false" outlineLevel="0" collapsed="false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8"/>
      <c r="N52" s="26"/>
    </row>
    <row r="53" customFormat="false" ht="14.25" hidden="false" customHeight="false" outlineLevel="0" collapsed="false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8"/>
      <c r="N53" s="26"/>
    </row>
    <row r="54" customFormat="false" ht="14.25" hidden="false" customHeight="false" outlineLevel="0" collapsed="false"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8"/>
      <c r="N54" s="26"/>
    </row>
    <row r="55" customFormat="false" ht="14.25" hidden="false" customHeight="false" outlineLevel="0" collapsed="false"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8"/>
      <c r="N55" s="26"/>
    </row>
    <row r="56" customFormat="false" ht="14.25" hidden="false" customHeight="false" outlineLevel="0" collapsed="false"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8"/>
      <c r="N56" s="26"/>
    </row>
    <row r="57" customFormat="false" ht="14.25" hidden="false" customHeight="false" outlineLevel="0" collapsed="false"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8"/>
      <c r="N57" s="26"/>
    </row>
    <row r="58" customFormat="false" ht="14.25" hidden="false" customHeight="false" outlineLevel="0" collapsed="false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8"/>
      <c r="N58" s="26"/>
    </row>
    <row r="59" customFormat="false" ht="14.25" hidden="false" customHeight="false" outlineLevel="0" collapsed="false"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8"/>
      <c r="N59" s="26"/>
    </row>
    <row r="60" customFormat="false" ht="14.25" hidden="false" customHeight="false" outlineLevel="0" collapsed="false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8"/>
      <c r="N60" s="26"/>
    </row>
    <row r="61" customFormat="false" ht="14.25" hidden="false" customHeight="false" outlineLevel="0" collapsed="false"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8"/>
      <c r="N61" s="26"/>
    </row>
    <row r="62" customFormat="false" ht="14.25" hidden="false" customHeight="false" outlineLevel="0" collapsed="false"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8"/>
      <c r="N62" s="26"/>
    </row>
    <row r="63" customFormat="false" ht="14.25" hidden="false" customHeight="false" outlineLevel="0" collapsed="false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8"/>
      <c r="N63" s="26"/>
    </row>
    <row r="64" customFormat="false" ht="14.25" hidden="false" customHeight="false" outlineLevel="0" collapsed="false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8"/>
      <c r="N64" s="26"/>
    </row>
    <row r="65" customFormat="false" ht="14.25" hidden="false" customHeight="false" outlineLevel="0" collapsed="false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8"/>
      <c r="N65" s="26"/>
    </row>
    <row r="66" customFormat="false" ht="14.25" hidden="false" customHeight="false" outlineLevel="0" collapsed="false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8"/>
      <c r="N66" s="26"/>
    </row>
    <row r="67" customFormat="false" ht="14.25" hidden="false" customHeight="false" outlineLevel="0" collapsed="false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8"/>
      <c r="N67" s="26"/>
    </row>
    <row r="68" customFormat="false" ht="14.25" hidden="false" customHeight="false" outlineLevel="0" collapsed="false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8"/>
      <c r="N68" s="26"/>
    </row>
    <row r="69" customFormat="false" ht="14.25" hidden="false" customHeight="false" outlineLevel="0" collapsed="false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8"/>
      <c r="N69" s="26"/>
    </row>
    <row r="70" customFormat="false" ht="14.25" hidden="false" customHeight="false" outlineLevel="0" collapsed="false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8"/>
      <c r="N70" s="26"/>
    </row>
    <row r="71" customFormat="false" ht="14.25" hidden="false" customHeight="false" outlineLevel="0" collapsed="false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8"/>
      <c r="N71" s="26"/>
    </row>
    <row r="72" customFormat="false" ht="14.25" hidden="false" customHeight="false" outlineLevel="0" collapsed="false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8"/>
      <c r="N72" s="26"/>
    </row>
    <row r="73" customFormat="false" ht="14.25" hidden="false" customHeight="false" outlineLevel="0" collapsed="false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8"/>
      <c r="N73" s="26"/>
    </row>
    <row r="74" customFormat="false" ht="14.25" hidden="false" customHeight="false" outlineLevel="0" collapsed="false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8"/>
      <c r="N74" s="26"/>
    </row>
    <row r="75" customFormat="false" ht="14.25" hidden="false" customHeight="false" outlineLevel="0" collapsed="false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8"/>
      <c r="N75" s="26"/>
    </row>
    <row r="76" customFormat="false" ht="14.25" hidden="false" customHeight="false" outlineLevel="0" collapsed="false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8"/>
      <c r="N76" s="26"/>
    </row>
    <row r="77" customFormat="false" ht="14.25" hidden="false" customHeight="false" outlineLevel="0" collapsed="false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8"/>
      <c r="N77" s="26"/>
    </row>
    <row r="78" customFormat="false" ht="14.25" hidden="false" customHeight="false" outlineLevel="0" collapsed="false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8"/>
      <c r="N78" s="26"/>
    </row>
    <row r="79" customFormat="false" ht="14.25" hidden="false" customHeight="false" outlineLevel="0" collapsed="false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8"/>
      <c r="N79" s="26"/>
    </row>
    <row r="80" customFormat="false" ht="14.25" hidden="false" customHeight="false" outlineLevel="0" collapsed="false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8"/>
      <c r="N80" s="26"/>
    </row>
    <row r="81" customFormat="false" ht="14.25" hidden="false" customHeight="false" outlineLevel="0" collapsed="false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8"/>
      <c r="N81" s="26"/>
    </row>
    <row r="82" customFormat="false" ht="14.25" hidden="false" customHeight="false" outlineLevel="0" collapsed="false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8"/>
      <c r="N82" s="26"/>
    </row>
    <row r="83" customFormat="false" ht="14.25" hidden="false" customHeight="false" outlineLevel="0" collapsed="false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8"/>
      <c r="N83" s="26"/>
    </row>
    <row r="84" customFormat="false" ht="14.25" hidden="false" customHeight="false" outlineLevel="0" collapsed="false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8"/>
      <c r="N84" s="26"/>
    </row>
    <row r="85" customFormat="false" ht="14.25" hidden="false" customHeight="false" outlineLevel="0" collapsed="false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8"/>
      <c r="N85" s="26"/>
    </row>
    <row r="86" customFormat="false" ht="14.25" hidden="false" customHeight="false" outlineLevel="0" collapsed="false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8"/>
      <c r="N86" s="26"/>
    </row>
    <row r="87" customFormat="false" ht="14.25" hidden="false" customHeight="false" outlineLevel="0" collapsed="false"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8"/>
      <c r="N87" s="26"/>
    </row>
    <row r="88" customFormat="false" ht="14.25" hidden="false" customHeight="false" outlineLevel="0" collapsed="false"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8"/>
      <c r="N88" s="26"/>
    </row>
    <row r="89" customFormat="false" ht="14.25" hidden="false" customHeight="false" outlineLevel="0" collapsed="false"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8"/>
      <c r="N89" s="26"/>
    </row>
    <row r="90" customFormat="false" ht="14.25" hidden="false" customHeight="false" outlineLevel="0" collapsed="false"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8"/>
      <c r="N90" s="26"/>
    </row>
    <row r="91" customFormat="false" ht="14.25" hidden="false" customHeight="false" outlineLevel="0" collapsed="false"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8"/>
      <c r="N91" s="26"/>
    </row>
    <row r="92" customFormat="false" ht="14.25" hidden="false" customHeight="false" outlineLevel="0" collapsed="false"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8"/>
      <c r="N92" s="26"/>
    </row>
    <row r="93" customFormat="false" ht="14.25" hidden="false" customHeight="false" outlineLevel="0" collapsed="false"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8"/>
      <c r="N93" s="26"/>
    </row>
    <row r="94" customFormat="false" ht="14.25" hidden="false" customHeight="false" outlineLevel="0" collapsed="false"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8"/>
      <c r="N94" s="26"/>
    </row>
    <row r="95" customFormat="false" ht="14.25" hidden="false" customHeight="false" outlineLevel="0" collapsed="false"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8"/>
      <c r="N95" s="26"/>
    </row>
    <row r="96" customFormat="false" ht="14.25" hidden="false" customHeight="false" outlineLevel="0" collapsed="false"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8"/>
      <c r="N96" s="26"/>
    </row>
    <row r="97" customFormat="false" ht="14.25" hidden="false" customHeight="false" outlineLevel="0" collapsed="false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8"/>
      <c r="N97" s="26"/>
    </row>
    <row r="98" customFormat="false" ht="14.25" hidden="false" customHeight="false" outlineLevel="0" collapsed="false"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8"/>
      <c r="N98" s="26"/>
    </row>
    <row r="99" customFormat="false" ht="14.25" hidden="false" customHeight="false" outlineLevel="0" collapsed="false"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8"/>
      <c r="N99" s="26"/>
    </row>
    <row r="100" customFormat="false" ht="14.25" hidden="false" customHeight="false" outlineLevel="0" collapsed="false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8"/>
      <c r="N100" s="26"/>
    </row>
    <row r="101" customFormat="false" ht="14.25" hidden="false" customHeight="false" outlineLevel="0" collapsed="false"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8"/>
      <c r="N101" s="26"/>
    </row>
    <row r="102" customFormat="false" ht="14.25" hidden="false" customHeight="false" outlineLevel="0" collapsed="false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8"/>
      <c r="N102" s="26"/>
    </row>
    <row r="103" customFormat="false" ht="14.25" hidden="false" customHeight="false" outlineLevel="0" collapsed="false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8"/>
      <c r="N103" s="26"/>
    </row>
    <row r="104" customFormat="false" ht="14.25" hidden="false" customHeight="false" outlineLevel="0" collapsed="false"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8"/>
      <c r="N104" s="26"/>
    </row>
    <row r="105" customFormat="false" ht="14.25" hidden="false" customHeight="false" outlineLevel="0" collapsed="false"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8"/>
      <c r="N105" s="26"/>
    </row>
    <row r="106" customFormat="false" ht="14.25" hidden="false" customHeight="false" outlineLevel="0" collapsed="false"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8"/>
      <c r="N106" s="26"/>
    </row>
    <row r="107" customFormat="false" ht="14.25" hidden="false" customHeight="false" outlineLevel="0" collapsed="false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8"/>
      <c r="N107" s="26"/>
    </row>
    <row r="108" customFormat="false" ht="14.25" hidden="false" customHeight="false" outlineLevel="0" collapsed="false"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8"/>
      <c r="N108" s="26"/>
    </row>
    <row r="109" customFormat="false" ht="14.25" hidden="false" customHeight="false" outlineLevel="0" collapsed="false"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8"/>
      <c r="N109" s="26"/>
    </row>
    <row r="110" customFormat="false" ht="14.25" hidden="false" customHeight="false" outlineLevel="0" collapsed="false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8"/>
      <c r="N110" s="26"/>
    </row>
    <row r="111" customFormat="false" ht="14.25" hidden="false" customHeight="false" outlineLevel="0" collapsed="false"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8"/>
      <c r="N111" s="26"/>
    </row>
    <row r="112" customFormat="false" ht="14.25" hidden="false" customHeight="false" outlineLevel="0" collapsed="false"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8"/>
      <c r="N112" s="26"/>
    </row>
    <row r="113" customFormat="false" ht="14.25" hidden="false" customHeight="false" outlineLevel="0" collapsed="false"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8"/>
      <c r="N113" s="26"/>
    </row>
    <row r="114" customFormat="false" ht="14.25" hidden="false" customHeight="false" outlineLevel="0" collapsed="false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8"/>
      <c r="N114" s="26"/>
    </row>
    <row r="115" customFormat="false" ht="14.25" hidden="false" customHeight="false" outlineLevel="0" collapsed="false"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8"/>
      <c r="N115" s="26"/>
    </row>
    <row r="116" customFormat="false" ht="14.25" hidden="false" customHeight="false" outlineLevel="0" collapsed="false"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8"/>
      <c r="N116" s="26"/>
    </row>
    <row r="117" customFormat="false" ht="14.25" hidden="false" customHeight="false" outlineLevel="0" collapsed="false"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8"/>
      <c r="N117" s="26"/>
    </row>
    <row r="118" customFormat="false" ht="14.25" hidden="false" customHeight="false" outlineLevel="0" collapsed="false"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8"/>
      <c r="N118" s="26"/>
    </row>
    <row r="119" customFormat="false" ht="14.25" hidden="false" customHeight="false" outlineLevel="0" collapsed="false"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8"/>
      <c r="N119" s="26"/>
    </row>
    <row r="120" customFormat="false" ht="14.25" hidden="false" customHeight="false" outlineLevel="0" collapsed="false"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8"/>
      <c r="N120" s="26"/>
    </row>
    <row r="121" customFormat="false" ht="14.25" hidden="false" customHeight="false" outlineLevel="0" collapsed="false"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8"/>
      <c r="N121" s="26"/>
    </row>
    <row r="122" customFormat="false" ht="14.25" hidden="false" customHeight="false" outlineLevel="0" collapsed="false"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8"/>
      <c r="N122" s="26"/>
    </row>
    <row r="123" customFormat="false" ht="14.25" hidden="false" customHeight="false" outlineLevel="0" collapsed="false"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8"/>
      <c r="N123" s="26"/>
    </row>
    <row r="124" customFormat="false" ht="14.25" hidden="false" customHeight="false" outlineLevel="0" collapsed="false"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8"/>
      <c r="N124" s="26"/>
    </row>
    <row r="125" customFormat="false" ht="14.25" hidden="false" customHeight="false" outlineLevel="0" collapsed="false"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8"/>
      <c r="N125" s="26"/>
    </row>
    <row r="126" customFormat="false" ht="14.25" hidden="false" customHeight="false" outlineLevel="0" collapsed="false"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8"/>
      <c r="N126" s="26"/>
    </row>
    <row r="127" customFormat="false" ht="14.25" hidden="false" customHeight="false" outlineLevel="0" collapsed="false"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8"/>
      <c r="N127" s="26"/>
    </row>
    <row r="128" customFormat="false" ht="14.25" hidden="false" customHeight="false" outlineLevel="0" collapsed="false"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8"/>
      <c r="N128" s="26"/>
    </row>
    <row r="129" customFormat="false" ht="14.25" hidden="false" customHeight="false" outlineLevel="0" collapsed="false"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8"/>
      <c r="N129" s="26"/>
    </row>
    <row r="130" customFormat="false" ht="14.25" hidden="false" customHeight="false" outlineLevel="0" collapsed="false"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8"/>
      <c r="N130" s="26"/>
    </row>
    <row r="131" customFormat="false" ht="14.25" hidden="false" customHeight="false" outlineLevel="0" collapsed="false"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8"/>
      <c r="N131" s="26"/>
    </row>
    <row r="132" customFormat="false" ht="14.25" hidden="false" customHeight="false" outlineLevel="0" collapsed="false"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8"/>
      <c r="N132" s="26"/>
    </row>
    <row r="133" customFormat="false" ht="14.25" hidden="false" customHeight="false" outlineLevel="0" collapsed="false"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8"/>
      <c r="N133" s="26"/>
    </row>
    <row r="134" customFormat="false" ht="14.25" hidden="false" customHeight="false" outlineLevel="0" collapsed="false"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8"/>
      <c r="N134" s="26"/>
    </row>
    <row r="135" customFormat="false" ht="14.25" hidden="false" customHeight="false" outlineLevel="0" collapsed="false"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8"/>
      <c r="N135" s="26"/>
    </row>
    <row r="136" customFormat="false" ht="14.25" hidden="false" customHeight="false" outlineLevel="0" collapsed="false"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8"/>
      <c r="N136" s="26"/>
    </row>
    <row r="137" customFormat="false" ht="14.25" hidden="false" customHeight="false" outlineLevel="0" collapsed="false"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8"/>
      <c r="N137" s="26"/>
    </row>
    <row r="138" customFormat="false" ht="14.25" hidden="false" customHeight="false" outlineLevel="0" collapsed="false"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8"/>
      <c r="N138" s="26"/>
    </row>
    <row r="139" customFormat="false" ht="14.25" hidden="false" customHeight="false" outlineLevel="0" collapsed="false"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8"/>
      <c r="N139" s="26"/>
    </row>
    <row r="140" customFormat="false" ht="14.25" hidden="false" customHeight="false" outlineLevel="0" collapsed="false"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8"/>
      <c r="N140" s="26"/>
    </row>
    <row r="141" customFormat="false" ht="14.25" hidden="false" customHeight="false" outlineLevel="0" collapsed="false"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8"/>
      <c r="N141" s="26"/>
    </row>
    <row r="142" customFormat="false" ht="14.25" hidden="false" customHeight="false" outlineLevel="0" collapsed="false"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8"/>
      <c r="N142" s="26"/>
    </row>
    <row r="143" customFormat="false" ht="14.25" hidden="false" customHeight="false" outlineLevel="0" collapsed="false"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8"/>
      <c r="N143" s="26"/>
    </row>
    <row r="144" customFormat="false" ht="14.25" hidden="false" customHeight="false" outlineLevel="0" collapsed="false"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8"/>
      <c r="N144" s="26"/>
    </row>
    <row r="145" customFormat="false" ht="14.25" hidden="false" customHeight="false" outlineLevel="0" collapsed="false"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8"/>
      <c r="N145" s="26"/>
    </row>
    <row r="146" customFormat="false" ht="14.25" hidden="false" customHeight="false" outlineLevel="0" collapsed="false"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8"/>
      <c r="N146" s="26"/>
    </row>
    <row r="147" customFormat="false" ht="14.25" hidden="false" customHeight="false" outlineLevel="0" collapsed="false"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8"/>
      <c r="N147" s="26"/>
    </row>
    <row r="148" customFormat="false" ht="14.25" hidden="false" customHeight="false" outlineLevel="0" collapsed="false"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8"/>
      <c r="N148" s="26"/>
    </row>
    <row r="149" customFormat="false" ht="14.25" hidden="false" customHeight="false" outlineLevel="0" collapsed="false"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8"/>
      <c r="N149" s="26"/>
    </row>
    <row r="150" customFormat="false" ht="14.25" hidden="false" customHeight="false" outlineLevel="0" collapsed="false"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8"/>
      <c r="N150" s="26"/>
    </row>
    <row r="151" customFormat="false" ht="14.25" hidden="false" customHeight="false" outlineLevel="0" collapsed="false"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8"/>
      <c r="N151" s="26"/>
    </row>
    <row r="152" customFormat="false" ht="14.25" hidden="false" customHeight="false" outlineLevel="0" collapsed="false"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8"/>
      <c r="N152" s="26"/>
    </row>
    <row r="153" customFormat="false" ht="14.25" hidden="false" customHeight="false" outlineLevel="0" collapsed="false"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8"/>
      <c r="N153" s="26"/>
    </row>
    <row r="154" customFormat="false" ht="14.25" hidden="false" customHeight="false" outlineLevel="0" collapsed="false"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8"/>
      <c r="N154" s="26"/>
    </row>
    <row r="155" customFormat="false" ht="14.25" hidden="false" customHeight="false" outlineLevel="0" collapsed="false"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8"/>
      <c r="N155" s="26"/>
    </row>
    <row r="156" customFormat="false" ht="14.25" hidden="false" customHeight="false" outlineLevel="0" collapsed="false"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8"/>
      <c r="N156" s="26"/>
    </row>
    <row r="157" customFormat="false" ht="14.25" hidden="false" customHeight="false" outlineLevel="0" collapsed="false"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8"/>
      <c r="N157" s="26"/>
    </row>
    <row r="158" customFormat="false" ht="14.25" hidden="false" customHeight="false" outlineLevel="0" collapsed="false"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8"/>
      <c r="N158" s="26"/>
    </row>
    <row r="159" customFormat="false" ht="14.25" hidden="false" customHeight="false" outlineLevel="0" collapsed="false"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8"/>
      <c r="N159" s="26"/>
    </row>
    <row r="160" customFormat="false" ht="14.25" hidden="false" customHeight="false" outlineLevel="0" collapsed="false"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8"/>
      <c r="N160" s="26"/>
    </row>
    <row r="161" customFormat="false" ht="14.25" hidden="false" customHeight="false" outlineLevel="0" collapsed="false"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8"/>
      <c r="N161" s="26"/>
    </row>
    <row r="162" customFormat="false" ht="14.25" hidden="false" customHeight="false" outlineLevel="0" collapsed="false"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8"/>
      <c r="N162" s="26"/>
    </row>
    <row r="163" customFormat="false" ht="14.25" hidden="false" customHeight="false" outlineLevel="0" collapsed="false"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8"/>
      <c r="N163" s="26"/>
    </row>
    <row r="164" customFormat="false" ht="14.25" hidden="false" customHeight="false" outlineLevel="0" collapsed="false"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8"/>
      <c r="N164" s="26"/>
    </row>
    <row r="165" customFormat="false" ht="14.25" hidden="false" customHeight="false" outlineLevel="0" collapsed="false"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8"/>
      <c r="N165" s="26"/>
    </row>
    <row r="166" customFormat="false" ht="14.25" hidden="false" customHeight="false" outlineLevel="0" collapsed="false"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8"/>
      <c r="N166" s="26"/>
    </row>
    <row r="167" customFormat="false" ht="14.25" hidden="false" customHeight="false" outlineLevel="0" collapsed="false"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8"/>
      <c r="N167" s="26"/>
    </row>
    <row r="168" customFormat="false" ht="14.25" hidden="false" customHeight="false" outlineLevel="0" collapsed="false"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8"/>
      <c r="N168" s="26"/>
    </row>
    <row r="169" customFormat="false" ht="14.25" hidden="false" customHeight="false" outlineLevel="0" collapsed="false"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8"/>
      <c r="N169" s="26"/>
    </row>
    <row r="170" customFormat="false" ht="14.25" hidden="false" customHeight="false" outlineLevel="0" collapsed="false"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8"/>
      <c r="N170" s="26"/>
    </row>
    <row r="171" customFormat="false" ht="14.25" hidden="false" customHeight="false" outlineLevel="0" collapsed="false"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8"/>
      <c r="N171" s="26"/>
    </row>
    <row r="172" customFormat="false" ht="14.25" hidden="false" customHeight="false" outlineLevel="0" collapsed="false"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8"/>
      <c r="N172" s="26"/>
    </row>
    <row r="173" customFormat="false" ht="14.25" hidden="false" customHeight="false" outlineLevel="0" collapsed="false"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8"/>
      <c r="N173" s="26"/>
    </row>
    <row r="174" customFormat="false" ht="14.25" hidden="false" customHeight="false" outlineLevel="0" collapsed="false"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8"/>
      <c r="N174" s="26"/>
    </row>
    <row r="175" customFormat="false" ht="14.25" hidden="false" customHeight="false" outlineLevel="0" collapsed="false"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8"/>
      <c r="N175" s="26"/>
    </row>
    <row r="176" customFormat="false" ht="14.25" hidden="false" customHeight="false" outlineLevel="0" collapsed="false"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8"/>
      <c r="N176" s="26"/>
    </row>
    <row r="177" customFormat="false" ht="14.25" hidden="false" customHeight="false" outlineLevel="0" collapsed="false"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8"/>
      <c r="N177" s="26"/>
    </row>
    <row r="178" customFormat="false" ht="14.25" hidden="false" customHeight="false" outlineLevel="0" collapsed="false"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8"/>
      <c r="N178" s="26"/>
    </row>
    <row r="179" customFormat="false" ht="14.25" hidden="false" customHeight="false" outlineLevel="0" collapsed="false"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8"/>
      <c r="N179" s="26"/>
    </row>
    <row r="180" customFormat="false" ht="14.25" hidden="false" customHeight="false" outlineLevel="0" collapsed="false"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8"/>
      <c r="N180" s="26"/>
    </row>
    <row r="181" customFormat="false" ht="14.25" hidden="false" customHeight="false" outlineLevel="0" collapsed="false"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8"/>
      <c r="N181" s="26"/>
    </row>
    <row r="182" customFormat="false" ht="14.25" hidden="false" customHeight="false" outlineLevel="0" collapsed="false"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8"/>
      <c r="N182" s="26"/>
    </row>
    <row r="183" customFormat="false" ht="14.25" hidden="false" customHeight="false" outlineLevel="0" collapsed="false"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8"/>
      <c r="N183" s="26"/>
    </row>
    <row r="184" customFormat="false" ht="14.25" hidden="false" customHeight="false" outlineLevel="0" collapsed="false"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8"/>
      <c r="N184" s="26"/>
    </row>
    <row r="185" customFormat="false" ht="14.25" hidden="false" customHeight="false" outlineLevel="0" collapsed="false"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8"/>
      <c r="N185" s="26"/>
    </row>
    <row r="186" customFormat="false" ht="14.25" hidden="false" customHeight="false" outlineLevel="0" collapsed="false"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8"/>
      <c r="N186" s="26"/>
    </row>
    <row r="187" customFormat="false" ht="14.25" hidden="false" customHeight="false" outlineLevel="0" collapsed="false"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8"/>
      <c r="N187" s="26"/>
    </row>
    <row r="188" customFormat="false" ht="14.25" hidden="false" customHeight="false" outlineLevel="0" collapsed="false"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8"/>
      <c r="N188" s="26"/>
    </row>
    <row r="189" customFormat="false" ht="14.25" hidden="false" customHeight="false" outlineLevel="0" collapsed="false"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8"/>
      <c r="N189" s="26"/>
    </row>
    <row r="190" customFormat="false" ht="14.25" hidden="false" customHeight="false" outlineLevel="0" collapsed="false"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8"/>
      <c r="N190" s="26"/>
    </row>
    <row r="191" customFormat="false" ht="14.25" hidden="false" customHeight="false" outlineLevel="0" collapsed="false"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8"/>
      <c r="N191" s="26"/>
    </row>
    <row r="192" customFormat="false" ht="14.25" hidden="false" customHeight="false" outlineLevel="0" collapsed="false"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8"/>
      <c r="N192" s="26"/>
    </row>
    <row r="193" customFormat="false" ht="14.25" hidden="false" customHeight="false" outlineLevel="0" collapsed="false"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8"/>
      <c r="N193" s="26"/>
    </row>
    <row r="194" customFormat="false" ht="14.25" hidden="false" customHeight="false" outlineLevel="0" collapsed="false"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8"/>
      <c r="N194" s="26"/>
    </row>
    <row r="195" customFormat="false" ht="14.25" hidden="false" customHeight="false" outlineLevel="0" collapsed="false"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8"/>
      <c r="N195" s="26"/>
    </row>
    <row r="196" customFormat="false" ht="14.25" hidden="false" customHeight="false" outlineLevel="0" collapsed="false"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8"/>
      <c r="N196" s="26"/>
    </row>
    <row r="197" customFormat="false" ht="14.25" hidden="false" customHeight="false" outlineLevel="0" collapsed="false"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8"/>
      <c r="N197" s="26"/>
    </row>
    <row r="198" customFormat="false" ht="14.25" hidden="false" customHeight="false" outlineLevel="0" collapsed="false"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8"/>
      <c r="N198" s="26"/>
    </row>
    <row r="199" customFormat="false" ht="14.25" hidden="false" customHeight="false" outlineLevel="0" collapsed="false"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8"/>
      <c r="N199" s="26"/>
    </row>
    <row r="200" customFormat="false" ht="14.25" hidden="false" customHeight="false" outlineLevel="0" collapsed="false"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8"/>
      <c r="N200" s="26"/>
    </row>
    <row r="201" customFormat="false" ht="14.25" hidden="false" customHeight="false" outlineLevel="0" collapsed="false"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8"/>
      <c r="N201" s="26"/>
    </row>
    <row r="202" customFormat="false" ht="14.25" hidden="false" customHeight="false" outlineLevel="0" collapsed="false"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8"/>
      <c r="N202" s="26"/>
    </row>
    <row r="203" customFormat="false" ht="14.25" hidden="false" customHeight="false" outlineLevel="0" collapsed="false"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8"/>
      <c r="N203" s="26"/>
    </row>
    <row r="204" customFormat="false" ht="14.25" hidden="false" customHeight="false" outlineLevel="0" collapsed="false"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8"/>
      <c r="N204" s="26"/>
    </row>
    <row r="205" customFormat="false" ht="14.25" hidden="false" customHeight="false" outlineLevel="0" collapsed="false"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8"/>
      <c r="N205" s="26"/>
    </row>
    <row r="206" customFormat="false" ht="14.25" hidden="false" customHeight="false" outlineLevel="0" collapsed="false"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8"/>
      <c r="N206" s="26"/>
    </row>
    <row r="207" customFormat="false" ht="14.25" hidden="false" customHeight="false" outlineLevel="0" collapsed="false"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8"/>
      <c r="N207" s="26"/>
    </row>
    <row r="208" customFormat="false" ht="14.25" hidden="false" customHeight="false" outlineLevel="0" collapsed="false"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8"/>
      <c r="N208" s="26"/>
    </row>
    <row r="209" customFormat="false" ht="14.25" hidden="false" customHeight="false" outlineLevel="0" collapsed="false"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8"/>
      <c r="N209" s="26"/>
    </row>
    <row r="210" customFormat="false" ht="14.25" hidden="false" customHeight="false" outlineLevel="0" collapsed="false"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8"/>
      <c r="N210" s="26"/>
    </row>
    <row r="211" customFormat="false" ht="14.25" hidden="false" customHeight="false" outlineLevel="0" collapsed="false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8"/>
      <c r="N211" s="26"/>
    </row>
    <row r="212" customFormat="false" ht="14.25" hidden="false" customHeight="false" outlineLevel="0" collapsed="false"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8"/>
      <c r="N212" s="26"/>
    </row>
    <row r="213" customFormat="false" ht="14.25" hidden="false" customHeight="false" outlineLevel="0" collapsed="false"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8"/>
      <c r="N213" s="26"/>
    </row>
    <row r="214" customFormat="false" ht="14.25" hidden="false" customHeight="false" outlineLevel="0" collapsed="false"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8"/>
      <c r="N214" s="26"/>
    </row>
    <row r="215" customFormat="false" ht="14.25" hidden="false" customHeight="false" outlineLevel="0" collapsed="false"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8"/>
      <c r="N215" s="26"/>
    </row>
    <row r="216" customFormat="false" ht="14.25" hidden="false" customHeight="false" outlineLevel="0" collapsed="false"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8"/>
      <c r="N216" s="26"/>
    </row>
    <row r="217" customFormat="false" ht="14.25" hidden="false" customHeight="false" outlineLevel="0" collapsed="false"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8"/>
      <c r="N217" s="26"/>
    </row>
    <row r="218" customFormat="false" ht="14.25" hidden="false" customHeight="false" outlineLevel="0" collapsed="false"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8"/>
      <c r="N218" s="26"/>
    </row>
    <row r="219" customFormat="false" ht="14.25" hidden="false" customHeight="false" outlineLevel="0" collapsed="false"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8"/>
      <c r="N219" s="26"/>
    </row>
    <row r="220" customFormat="false" ht="14.25" hidden="false" customHeight="false" outlineLevel="0" collapsed="false"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8"/>
      <c r="N220" s="26"/>
    </row>
    <row r="221" customFormat="false" ht="14.25" hidden="false" customHeight="false" outlineLevel="0" collapsed="false"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8"/>
      <c r="N221" s="26"/>
    </row>
    <row r="222" customFormat="false" ht="14.25" hidden="false" customHeight="false" outlineLevel="0" collapsed="false"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8"/>
      <c r="N222" s="26"/>
    </row>
    <row r="223" customFormat="false" ht="14.25" hidden="false" customHeight="false" outlineLevel="0" collapsed="false"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8"/>
      <c r="N223" s="26"/>
    </row>
    <row r="224" customFormat="false" ht="14.25" hidden="false" customHeight="false" outlineLevel="0" collapsed="false"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8"/>
      <c r="N224" s="26"/>
    </row>
    <row r="225" customFormat="false" ht="14.25" hidden="false" customHeight="false" outlineLevel="0" collapsed="false"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8"/>
      <c r="N225" s="26"/>
    </row>
    <row r="226" customFormat="false" ht="14.25" hidden="false" customHeight="false" outlineLevel="0" collapsed="false"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8"/>
      <c r="N226" s="26"/>
    </row>
    <row r="227" customFormat="false" ht="14.25" hidden="false" customHeight="false" outlineLevel="0" collapsed="false"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8"/>
      <c r="N227" s="26"/>
    </row>
    <row r="228" customFormat="false" ht="14.25" hidden="false" customHeight="false" outlineLevel="0" collapsed="false"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8"/>
      <c r="N228" s="26"/>
    </row>
    <row r="229" customFormat="false" ht="14.25" hidden="false" customHeight="false" outlineLevel="0" collapsed="false"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8"/>
      <c r="N229" s="26"/>
    </row>
    <row r="230" customFormat="false" ht="14.25" hidden="false" customHeight="false" outlineLevel="0" collapsed="false"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8"/>
      <c r="N230" s="26"/>
    </row>
    <row r="231" customFormat="false" ht="14.25" hidden="false" customHeight="false" outlineLevel="0" collapsed="false"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8"/>
      <c r="N231" s="26"/>
    </row>
    <row r="232" customFormat="false" ht="14.25" hidden="false" customHeight="false" outlineLevel="0" collapsed="false"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8"/>
      <c r="N232" s="26"/>
    </row>
    <row r="233" customFormat="false" ht="14.25" hidden="false" customHeight="false" outlineLevel="0" collapsed="false"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8"/>
      <c r="N233" s="26"/>
    </row>
    <row r="234" customFormat="false" ht="14.25" hidden="false" customHeight="false" outlineLevel="0" collapsed="false"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8"/>
      <c r="N234" s="26"/>
    </row>
    <row r="235" customFormat="false" ht="14.25" hidden="false" customHeight="false" outlineLevel="0" collapsed="false"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8"/>
      <c r="N235" s="26"/>
    </row>
    <row r="236" customFormat="false" ht="14.25" hidden="false" customHeight="false" outlineLevel="0" collapsed="false"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8"/>
      <c r="N236" s="26"/>
    </row>
    <row r="237" customFormat="false" ht="14.25" hidden="false" customHeight="false" outlineLevel="0" collapsed="false"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8"/>
      <c r="N237" s="26"/>
    </row>
    <row r="238" customFormat="false" ht="14.25" hidden="false" customHeight="false" outlineLevel="0" collapsed="false"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8"/>
      <c r="N238" s="26"/>
    </row>
    <row r="239" customFormat="false" ht="14.25" hidden="false" customHeight="false" outlineLevel="0" collapsed="false"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8"/>
      <c r="N239" s="26"/>
    </row>
    <row r="240" customFormat="false" ht="14.25" hidden="false" customHeight="false" outlineLevel="0" collapsed="false"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8"/>
      <c r="N240" s="26"/>
    </row>
    <row r="241" customFormat="false" ht="14.25" hidden="false" customHeight="false" outlineLevel="0" collapsed="false"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8"/>
      <c r="N241" s="26"/>
    </row>
    <row r="242" customFormat="false" ht="14.25" hidden="false" customHeight="false" outlineLevel="0" collapsed="false"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8"/>
      <c r="N242" s="26"/>
    </row>
    <row r="243" customFormat="false" ht="14.25" hidden="false" customHeight="false" outlineLevel="0" collapsed="false"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8"/>
      <c r="N243" s="26"/>
    </row>
    <row r="244" customFormat="false" ht="14.25" hidden="false" customHeight="false" outlineLevel="0" collapsed="false"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8"/>
      <c r="N244" s="26"/>
    </row>
    <row r="245" customFormat="false" ht="14.25" hidden="false" customHeight="false" outlineLevel="0" collapsed="false"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8"/>
      <c r="N245" s="26"/>
    </row>
    <row r="246" customFormat="false" ht="14.25" hidden="false" customHeight="false" outlineLevel="0" collapsed="false"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8"/>
      <c r="N246" s="26"/>
    </row>
    <row r="247" customFormat="false" ht="14.25" hidden="false" customHeight="false" outlineLevel="0" collapsed="false"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8"/>
      <c r="N247" s="26"/>
    </row>
    <row r="248" customFormat="false" ht="14.25" hidden="false" customHeight="false" outlineLevel="0" collapsed="false"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8"/>
      <c r="N248" s="26"/>
    </row>
    <row r="249" customFormat="false" ht="14.25" hidden="false" customHeight="false" outlineLevel="0" collapsed="false"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8"/>
      <c r="N249" s="26"/>
    </row>
    <row r="250" customFormat="false" ht="14.25" hidden="false" customHeight="false" outlineLevel="0" collapsed="false"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8"/>
      <c r="N250" s="26"/>
    </row>
  </sheetData>
  <sheetProtection sheet="true"/>
  <mergeCells count="2">
    <mergeCell ref="B5:N5"/>
    <mergeCell ref="B6:N6"/>
  </mergeCells>
  <conditionalFormatting sqref="B5:N5">
    <cfRule type="expression" priority="2" aboveAverage="0" equalAverage="0" bottom="0" percent="0" rank="0" text="" dxfId="9">
      <formula>ISNUMBER(SEARCH("❌",B5))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45"/>
  </cols>
  <sheetData>
    <row r="1" customFormat="false" ht="15.75" hidden="false" customHeight="true" outlineLevel="0" collapsed="false">
      <c r="A1" s="29" t="s">
        <v>82</v>
      </c>
      <c r="B1" s="29" t="s">
        <v>83</v>
      </c>
      <c r="C1" s="30" t="s">
        <v>84</v>
      </c>
      <c r="D1" s="29" t="s">
        <v>85</v>
      </c>
    </row>
    <row r="2" customFormat="false" ht="15" hidden="false" customHeight="true" outlineLevel="0" collapsed="false">
      <c r="A2" s="7" t="s">
        <v>86</v>
      </c>
      <c r="B2" s="7" t="s">
        <v>87</v>
      </c>
      <c r="C2" s="6" t="s">
        <v>21</v>
      </c>
      <c r="D2" s="31" t="s">
        <v>88</v>
      </c>
    </row>
    <row r="3" customFormat="false" ht="14.25" hidden="false" customHeight="false" outlineLevel="0" collapsed="false">
      <c r="A3" s="7" t="s">
        <v>89</v>
      </c>
      <c r="B3" s="7" t="s">
        <v>90</v>
      </c>
      <c r="C3" s="6" t="s">
        <v>22</v>
      </c>
    </row>
    <row r="4" customFormat="false" ht="14.25" hidden="false" customHeight="false" outlineLevel="0" collapsed="false">
      <c r="A4" s="7" t="s">
        <v>91</v>
      </c>
      <c r="B4" s="7" t="s">
        <v>92</v>
      </c>
      <c r="C4" s="6" t="s">
        <v>23</v>
      </c>
    </row>
    <row r="5" customFormat="false" ht="14.25" hidden="false" customHeight="false" outlineLevel="0" collapsed="false">
      <c r="A5" s="7" t="s">
        <v>93</v>
      </c>
      <c r="C5" s="6" t="s">
        <v>24</v>
      </c>
    </row>
    <row r="6" customFormat="false" ht="14.25" hidden="false" customHeight="false" outlineLevel="0" collapsed="false">
      <c r="A6" s="7" t="s">
        <v>94</v>
      </c>
      <c r="C6" s="6" t="s">
        <v>25</v>
      </c>
    </row>
    <row r="7" customFormat="false" ht="14.25" hidden="false" customHeight="false" outlineLevel="0" collapsed="false">
      <c r="A7" s="7" t="s">
        <v>95</v>
      </c>
      <c r="C7" s="6" t="s">
        <v>26</v>
      </c>
    </row>
    <row r="8" customFormat="false" ht="14.25" hidden="false" customHeight="false" outlineLevel="0" collapsed="false">
      <c r="A8" s="7" t="s">
        <v>96</v>
      </c>
      <c r="C8" s="6" t="s">
        <v>27</v>
      </c>
    </row>
    <row r="9" customFormat="false" ht="14.25" hidden="false" customHeight="false" outlineLevel="0" collapsed="false">
      <c r="A9" s="7" t="s">
        <v>97</v>
      </c>
      <c r="C9" s="6" t="s">
        <v>28</v>
      </c>
    </row>
    <row r="10" customFormat="false" ht="14.25" hidden="false" customHeight="false" outlineLevel="0" collapsed="false">
      <c r="A10" s="7" t="s">
        <v>98</v>
      </c>
      <c r="C10" s="6" t="s">
        <v>29</v>
      </c>
    </row>
    <row r="11" customFormat="false" ht="14.25" hidden="false" customHeight="false" outlineLevel="0" collapsed="false">
      <c r="A11" s="7" t="s">
        <v>99</v>
      </c>
      <c r="C11" s="6" t="s">
        <v>30</v>
      </c>
    </row>
    <row r="12" customFormat="false" ht="14.25" hidden="false" customHeight="false" outlineLevel="0" collapsed="false">
      <c r="A12" s="7" t="s">
        <v>100</v>
      </c>
      <c r="C12" s="6" t="s">
        <v>31</v>
      </c>
    </row>
    <row r="13" customFormat="false" ht="14.25" hidden="false" customHeight="false" outlineLevel="0" collapsed="false">
      <c r="C13" s="6" t="s">
        <v>32</v>
      </c>
    </row>
    <row r="14" customFormat="false" ht="14.25" hidden="false" customHeight="false" outlineLevel="0" collapsed="false">
      <c r="C14" s="6" t="s">
        <v>33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2026-10-08T19:24:16Z</dcterms:created>
  <dc:creator>openpyxl</dc:creator>
  <dc:description/>
  <dc:language>en-US</dc:language>
  <cp:lastModifiedBy>Antonio Gutierrez</cp:lastModifiedBy>
  <dcterms:modified xsi:type="dcterms:W3CDTF">2026-10-08T21:31:57Z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
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ctions" sheetId="1" state="visible" r:id="rId1"/>
    <sheet name="Employment_QCEW_Master" sheetId="2" state="visible" r:id="rId2"/>
    <sheet name="Ref_Lookup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+#,##0;-#,##0;0"/>
  </numFmts>
  <fonts count="10">
    <font>
      <name val="Calibri"/>
      <family val="2"/>
      <color theme="1"/>
      <sz val="11"/>
      <scheme val="minor"/>
    </font>
    <font>
      <name val="Segoe UI"/>
      <b val="1"/>
      <color rgb="000F2942"/>
      <sz val="15"/>
    </font>
    <font>
      <name val="Segoe UI"/>
      <color rgb="00475569"/>
      <sz val="10.5"/>
    </font>
    <font>
      <name val="Segoe UI"/>
      <i val="1"/>
      <color rgb="0064748B"/>
      <sz val="9"/>
    </font>
    <font>
      <name val="Segoe UI"/>
      <b val="1"/>
      <color rgb="000F2942"/>
      <sz val="11"/>
    </font>
    <font>
      <name val="Segoe UI"/>
      <b val="1"/>
      <color rgb="000F172A"/>
      <sz val="9.5"/>
    </font>
    <font>
      <name val="Segoe UI"/>
      <color rgb="000F172A"/>
      <sz val="9.5"/>
    </font>
    <font>
      <name val="Segoe UI"/>
      <b val="1"/>
      <color rgb="00FFFFFF"/>
      <sz val="10"/>
    </font>
    <font>
      <name val="Segoe UI"/>
      <b val="1"/>
      <color rgb="00166534"/>
      <sz val="10.5"/>
    </font>
    <font>
      <name val="Segoe UI"/>
      <b val="1"/>
      <color rgb="001E40AF"/>
      <sz val="9.5"/>
    </font>
  </fonts>
  <fills count="8">
    <fill>
      <patternFill/>
    </fill>
    <fill>
      <patternFill patternType="gray125"/>
    </fill>
    <fill>
      <patternFill patternType="solid">
        <fgColor rgb="00F1F5F9"/>
        <bgColor rgb="00F1F5F9"/>
      </patternFill>
    </fill>
    <fill>
      <patternFill patternType="solid">
        <fgColor rgb="00F8FAFC"/>
        <bgColor rgb="00F8FAFC"/>
      </patternFill>
    </fill>
    <fill>
      <patternFill patternType="solid">
        <fgColor rgb="001E40AF"/>
        <bgColor rgb="001E40AF"/>
      </patternFill>
    </fill>
    <fill>
      <patternFill patternType="solid">
        <fgColor rgb="000F2942"/>
        <bgColor rgb="000F2942"/>
      </patternFill>
    </fill>
    <fill>
      <patternFill patternType="solid">
        <fgColor rgb="00DCFCE7"/>
        <bgColor rgb="00DCFCE7"/>
      </patternFill>
    </fill>
    <fill>
      <patternFill patternType="solid">
        <fgColor rgb="00EFF6FF"/>
        <bgColor rgb="00EFF6FF"/>
      </patternFill>
    </fill>
  </fills>
  <borders count="6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/>
      <right/>
      <top style="thin">
        <color rgb="00CBD5E1"/>
      </top>
      <bottom/>
      <diagonal/>
    </border>
    <border>
      <left/>
      <right style="thin">
        <color rgb="00CBD5E1"/>
      </right>
      <top style="thin">
        <color rgb="00CBD5E1"/>
      </top>
      <bottom/>
      <diagonal/>
    </border>
    <border>
      <left/>
      <right/>
      <top style="thin">
        <color rgb="00CBD5E1"/>
      </top>
      <bottom style="thin">
        <color rgb="00CBD5E1"/>
      </bottom>
      <diagonal/>
    </border>
    <border>
      <left/>
      <right style="thin">
        <color rgb="00CBD5E1"/>
      </right>
      <top style="thin">
        <color rgb="00CBD5E1"/>
      </top>
      <bottom style="thin">
        <color rgb="00CBD5E1"/>
      </bottom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pivotButton="0" quotePrefix="0" xfId="0"/>
    <xf numFmtId="0" fontId="5" fillId="3" borderId="1" applyAlignment="1" pivotButton="0" quotePrefix="0" xfId="0">
      <alignment horizontal="center" vertical="center"/>
    </xf>
    <xf numFmtId="0" fontId="5" fillId="0" borderId="1" pivotButton="0" quotePrefix="0" xfId="0"/>
    <xf numFmtId="0" fontId="6" fillId="0" borderId="1" pivotButton="0" quotePrefix="0" xfId="0"/>
    <xf numFmtId="0" fontId="0" fillId="0" borderId="4" pivotButton="0" quotePrefix="0" xfId="0"/>
    <xf numFmtId="0" fontId="0" fillId="0" borderId="5" pivotButton="0" quotePrefix="0" xfId="0"/>
    <xf numFmtId="0" fontId="8" fillId="6" borderId="1" pivotButton="0" quotePrefix="0" xfId="0"/>
    <xf numFmtId="0" fontId="7" fillId="5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/>
    </xf>
    <xf numFmtId="3" fontId="6" fillId="0" borderId="1" applyAlignment="1" pivotButton="0" quotePrefix="0" xfId="0">
      <alignment horizontal="right" vertical="center"/>
    </xf>
    <xf numFmtId="3" fontId="5" fillId="0" borderId="1" applyAlignment="1" pivotButton="0" quotePrefix="0" xfId="0">
      <alignment horizontal="right" vertical="center"/>
    </xf>
    <xf numFmtId="164" fontId="9" fillId="7" borderId="1" applyAlignment="1" pivotButton="0" quotePrefix="0" xfId="0">
      <alignment horizontal="right" vertical="center"/>
    </xf>
    <xf numFmtId="0" fontId="3" fillId="0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/>
    </xf>
    <xf numFmtId="3" fontId="6" fillId="3" borderId="1" applyAlignment="1" pivotButton="0" quotePrefix="0" xfId="0">
      <alignment horizontal="right" vertical="center"/>
    </xf>
    <xf numFmtId="3" fontId="5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left" vertical="center"/>
    </xf>
    <xf numFmtId="0" fontId="6" fillId="3" borderId="1" applyAlignment="1" pivotButton="0" quotePrefix="0" xfId="0">
      <alignment horizontal="left" vertical="center"/>
    </xf>
    <xf numFmtId="0" fontId="7" fillId="4" borderId="0" applyAlignment="1" pivotButton="0" quotePrefix="0" xfId="0">
      <alignment horizontal="center" vertical="center"/>
    </xf>
    <xf numFmtId="0" fontId="7" fillId="5" borderId="0" applyAlignment="1" pivotButton="0" quotePrefix="0" xfId="0">
      <alignment horizontal="center" vertical="center"/>
    </xf>
    <xf numFmtId="0" fontId="3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1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12" customWidth="1" min="2" max="2"/>
    <col width="32" customWidth="1" min="3" max="3"/>
    <col width="75" customWidth="1" min="4" max="4"/>
  </cols>
  <sheetData>
    <row r="2">
      <c r="B2" s="1" t="inlineStr">
        <is>
          <t>SCOG Regional Employment Monitoring Intake</t>
        </is>
      </c>
    </row>
    <row r="3">
      <c r="B3" s="2" t="inlineStr">
        <is>
          <t>Quarterly Census of Employment and Wages (QCEW) Annual Industry Trends</t>
        </is>
      </c>
    </row>
    <row r="4">
      <c r="B4" s="3" t="inlineStr">
        <is>
          <t>Official Skagit Council of Governments (SCOG) Standard Data Template</t>
        </is>
      </c>
    </row>
    <row r="6">
      <c r="B6" s="4" t="inlineStr">
        <is>
          <t>Standard Operating Procedure (SOP) for Annual Updates</t>
        </is>
      </c>
    </row>
    <row r="7" ht="28" customHeight="1">
      <c r="B7" s="5" t="inlineStr">
        <is>
          <t>Step 1</t>
        </is>
      </c>
      <c r="C7" s="6" t="inlineStr">
        <is>
          <t>ESD QCEW Annual Release</t>
        </is>
      </c>
      <c r="D7" s="7" t="inlineStr">
        <is>
          <t>Download annual average covered employment reports from Washington Employment Security Department (ESD).</t>
        </is>
      </c>
      <c r="E7" s="8" t="n"/>
      <c r="F7" s="8" t="n"/>
      <c r="G7" s="8" t="n"/>
      <c r="H7" s="9" t="n"/>
    </row>
    <row r="8" ht="28" customHeight="1">
      <c r="B8" s="5" t="inlineStr">
        <is>
          <t>Step 2</t>
        </is>
      </c>
      <c r="C8" s="6" t="inlineStr">
        <is>
          <t>Confirm Schema Validation</t>
        </is>
      </c>
      <c r="D8" s="7" t="inlineStr">
        <is>
          <t>Check Cell B5 to ensure columns have not been altered.</t>
        </is>
      </c>
      <c r="E8" s="8" t="n"/>
      <c r="F8" s="8" t="n"/>
      <c r="G8" s="8" t="n"/>
      <c r="H8" s="9" t="n"/>
    </row>
    <row r="9" ht="28" customHeight="1">
      <c r="B9" s="5" t="inlineStr">
        <is>
          <t>Step 3</t>
        </is>
      </c>
      <c r="C9" s="6" t="inlineStr">
        <is>
          <t>Subsector Standardization</t>
        </is>
      </c>
      <c r="D9" s="7" t="inlineStr">
        <is>
          <t>Classify rows by 2-digit major sector and 3-digit NAICS subsector.</t>
        </is>
      </c>
      <c r="E9" s="8" t="n"/>
      <c r="F9" s="8" t="n"/>
      <c r="G9" s="8" t="n"/>
      <c r="H9" s="9" t="n"/>
    </row>
    <row r="10" ht="28" customHeight="1">
      <c r="B10" s="5" t="inlineStr">
        <is>
          <t>Step 4</t>
        </is>
      </c>
      <c r="C10" s="6" t="inlineStr">
        <is>
          <t>Confidentiality Flags</t>
        </is>
      </c>
      <c r="D10" s="7" t="inlineStr">
        <is>
          <t>Where data is suppressed by ESD to protect employer privacy (denoted by '*'), enter 0 or leave blank and note in Remarks.</t>
        </is>
      </c>
      <c r="E10" s="8" t="n"/>
      <c r="F10" s="8" t="n"/>
      <c r="G10" s="8" t="n"/>
      <c r="H10" s="9" t="n"/>
    </row>
    <row r="11" ht="28" customHeight="1">
      <c r="B11" s="5" t="inlineStr">
        <is>
          <t>Step 5</t>
        </is>
      </c>
      <c r="C11" s="6" t="inlineStr">
        <is>
          <t>Publish to SharePoint</t>
        </is>
      </c>
      <c r="D11" s="7" t="inlineStr">
        <is>
          <t>Save workbook to SharePoint Online.</t>
        </is>
      </c>
      <c r="E11" s="8" t="n"/>
      <c r="F11" s="8" t="n"/>
      <c r="G11" s="8" t="n"/>
      <c r="H11" s="9" t="n"/>
    </row>
  </sheetData>
  <mergeCells count="6">
    <mergeCell ref="D7:H7"/>
    <mergeCell ref="D8:H8"/>
    <mergeCell ref="D10:H10"/>
    <mergeCell ref="D11:H11"/>
    <mergeCell ref="B6:H6"/>
    <mergeCell ref="D9:H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N18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16" customWidth="1" min="2" max="2"/>
    <col width="15" customWidth="1" min="3" max="3"/>
    <col width="18" customWidth="1" min="4" max="4"/>
    <col width="18" customWidth="1" min="5" max="5"/>
    <col width="44" customWidth="1" min="6" max="6"/>
    <col width="22" customWidth="1" min="7" max="7"/>
    <col width="25" customWidth="1" min="8" max="8"/>
    <col width="16" customWidth="1" min="9" max="9"/>
    <col width="16" customWidth="1" min="10" max="10"/>
    <col width="16" customWidth="1" min="11" max="11"/>
    <col width="16" customWidth="1" min="12" max="12"/>
    <col width="22" customWidth="1" min="13" max="13"/>
    <col width="22" customWidth="1" min="14" max="14"/>
  </cols>
  <sheetData>
    <row r="2">
      <c r="B2" s="1" t="inlineStr">
        <is>
          <t>SCOG Annual Growth Monitoring Report — Master Employment Data</t>
        </is>
      </c>
    </row>
    <row r="3">
      <c r="B3" s="2" t="inlineStr">
        <is>
          <t>Skagit County Covered Employment and Business Establishment Trends (ESD / QCEW)</t>
        </is>
      </c>
    </row>
    <row r="5">
      <c r="B5" s="10">
        <f>IF(_xlfn.TEXTJOIN("|",TRUE,B8:N8)=Ref_Lookup!$D$2,"✔ SCHEMA VALID: Columns Match Official Specification","❌ SCHEMA ERROR: Column headers altered!")</f>
        <v/>
      </c>
      <c r="F5" s="10">
        <f>IF(SUM(G9:G50)&gt;0,"✔ INTEGRITY CHECK: Total Covered Employment Verified","⚠ INTEGRITY WARNING: Employment counts missing!")</f>
        <v/>
      </c>
    </row>
    <row r="8" ht="28" customHeight="1">
      <c r="B8" s="11" t="inlineStr">
        <is>
          <t>Record_ID</t>
        </is>
      </c>
      <c r="C8" s="11" t="inlineStr">
        <is>
          <t>Calendar_Year</t>
        </is>
      </c>
      <c r="D8" s="11" t="inlineStr">
        <is>
          <t>NAICS_2Digit_Code</t>
        </is>
      </c>
      <c r="E8" s="11" t="inlineStr">
        <is>
          <t>NAICS_3Digit_Code</t>
        </is>
      </c>
      <c r="F8" s="11" t="inlineStr">
        <is>
          <t>Industry_Subsector_Title</t>
        </is>
      </c>
      <c r="G8" s="11" t="inlineStr">
        <is>
          <t>Average_Establishments</t>
        </is>
      </c>
      <c r="H8" s="11" t="inlineStr">
        <is>
          <t>Annual_Average_Employment</t>
        </is>
      </c>
      <c r="I8" s="11" t="inlineStr">
        <is>
          <t>Q1_Employment</t>
        </is>
      </c>
      <c r="J8" s="11" t="inlineStr">
        <is>
          <t>Q2_Employment</t>
        </is>
      </c>
      <c r="K8" s="11" t="inlineStr">
        <is>
          <t>Q3_Employment</t>
        </is>
      </c>
      <c r="L8" s="11" t="inlineStr">
        <is>
          <t>Q4_Employment</t>
        </is>
      </c>
      <c r="M8" s="11" t="inlineStr">
        <is>
          <t>YoY_Employment_Change</t>
        </is>
      </c>
      <c r="N8" s="11" t="inlineStr">
        <is>
          <t>Data_Release_Status</t>
        </is>
      </c>
    </row>
    <row r="9" ht="21" customHeight="1">
      <c r="B9" s="12" t="inlineStr">
        <is>
          <t>EMP-2025-001</t>
        </is>
      </c>
      <c r="C9" s="13" t="n">
        <v>2025</v>
      </c>
      <c r="D9" s="12" t="inlineStr">
        <is>
          <t>TOTAL</t>
        </is>
      </c>
      <c r="E9" s="13" t="inlineStr"/>
      <c r="F9" s="14" t="inlineStr">
        <is>
          <t>Total Covered Employment (All Industries)</t>
        </is>
      </c>
      <c r="G9" s="15" t="n">
        <v>3663</v>
      </c>
      <c r="H9" s="16" t="n">
        <v>53850</v>
      </c>
      <c r="I9" s="15" t="n">
        <v>52930</v>
      </c>
      <c r="J9" s="15" t="n">
        <v>54510</v>
      </c>
      <c r="K9" s="15" t="n">
        <v>54220</v>
      </c>
      <c r="L9" s="15" t="n">
        <v>53740</v>
      </c>
      <c r="M9" s="17" t="n">
        <v>0</v>
      </c>
      <c r="N9" s="18" t="inlineStr">
        <is>
          <t>Official Revised</t>
        </is>
      </c>
    </row>
    <row r="10" ht="21" customHeight="1">
      <c r="B10" s="5" t="inlineStr">
        <is>
          <t>EMP-2025-002</t>
        </is>
      </c>
      <c r="C10" s="19" t="n">
        <v>2025</v>
      </c>
      <c r="D10" s="5" t="inlineStr">
        <is>
          <t>11</t>
        </is>
      </c>
      <c r="E10" s="19" t="inlineStr"/>
      <c r="F10" s="20" t="inlineStr">
        <is>
          <t>Agriculture, Forestry, Fishing and Hunting</t>
        </is>
      </c>
      <c r="G10" s="21" t="n">
        <v>147</v>
      </c>
      <c r="H10" s="22" t="n">
        <v>2140</v>
      </c>
      <c r="I10" s="21" t="n">
        <v>1907</v>
      </c>
      <c r="J10" s="21" t="n">
        <v>2450</v>
      </c>
      <c r="K10" s="21" t="n">
        <v>2380</v>
      </c>
      <c r="L10" s="21" t="n">
        <v>1823</v>
      </c>
      <c r="M10" s="17" t="n">
        <v>0</v>
      </c>
      <c r="N10" s="23" t="inlineStr">
        <is>
          <t>Official Revised</t>
        </is>
      </c>
    </row>
    <row r="11" ht="21" customHeight="1">
      <c r="B11" s="12" t="inlineStr">
        <is>
          <t>EMP-2025-003</t>
        </is>
      </c>
      <c r="C11" s="13" t="n">
        <v>2025</v>
      </c>
      <c r="D11" s="13" t="inlineStr"/>
      <c r="E11" s="13" t="inlineStr">
        <is>
          <t>111</t>
        </is>
      </c>
      <c r="F11" s="24" t="inlineStr">
        <is>
          <t>Crop Production</t>
        </is>
      </c>
      <c r="G11" s="15" t="n">
        <v>93</v>
      </c>
      <c r="H11" s="16" t="n">
        <v>1530</v>
      </c>
      <c r="I11" s="15" t="n">
        <v>1445</v>
      </c>
      <c r="J11" s="15" t="n">
        <v>1750</v>
      </c>
      <c r="K11" s="15" t="n">
        <v>1680</v>
      </c>
      <c r="L11" s="15" t="n">
        <v>1245</v>
      </c>
      <c r="M11" s="17" t="n">
        <v>0</v>
      </c>
      <c r="N11" s="18" t="inlineStr">
        <is>
          <t>Official Revised</t>
        </is>
      </c>
    </row>
    <row r="12" ht="21" customHeight="1">
      <c r="B12" s="5" t="inlineStr">
        <is>
          <t>EMP-2025-004</t>
        </is>
      </c>
      <c r="C12" s="19" t="n">
        <v>2025</v>
      </c>
      <c r="D12" s="19" t="inlineStr"/>
      <c r="E12" s="19" t="inlineStr">
        <is>
          <t>112</t>
        </is>
      </c>
      <c r="F12" s="25" t="inlineStr">
        <is>
          <t>Animal Production and Aquaculture</t>
        </is>
      </c>
      <c r="G12" s="21" t="n">
        <v>33</v>
      </c>
      <c r="H12" s="22" t="n">
        <v>238</v>
      </c>
      <c r="I12" s="21" t="n">
        <v>240</v>
      </c>
      <c r="J12" s="21" t="n">
        <v>235</v>
      </c>
      <c r="K12" s="21" t="n">
        <v>238</v>
      </c>
      <c r="L12" s="21" t="n">
        <v>239</v>
      </c>
      <c r="M12" s="17" t="n">
        <v>0</v>
      </c>
      <c r="N12" s="23" t="inlineStr">
        <is>
          <t>Official Revised</t>
        </is>
      </c>
    </row>
    <row r="13" ht="21" customHeight="1">
      <c r="B13" s="12" t="inlineStr">
        <is>
          <t>EMP-2025-005</t>
        </is>
      </c>
      <c r="C13" s="13" t="n">
        <v>2025</v>
      </c>
      <c r="D13" s="12" t="inlineStr">
        <is>
          <t>23</t>
        </is>
      </c>
      <c r="E13" s="13" t="inlineStr"/>
      <c r="F13" s="14" t="inlineStr">
        <is>
          <t>Construction</t>
        </is>
      </c>
      <c r="G13" s="15" t="n">
        <v>480</v>
      </c>
      <c r="H13" s="16" t="n">
        <v>4320</v>
      </c>
      <c r="I13" s="15" t="n">
        <v>4100</v>
      </c>
      <c r="J13" s="15" t="n">
        <v>4450</v>
      </c>
      <c r="K13" s="15" t="n">
        <v>4480</v>
      </c>
      <c r="L13" s="15" t="n">
        <v>4250</v>
      </c>
      <c r="M13" s="17" t="n">
        <v>0</v>
      </c>
      <c r="N13" s="18" t="inlineStr">
        <is>
          <t>Official Revised</t>
        </is>
      </c>
    </row>
    <row r="14" ht="21" customHeight="1">
      <c r="B14" s="5" t="inlineStr">
        <is>
          <t>EMP-2025-006</t>
        </is>
      </c>
      <c r="C14" s="19" t="n">
        <v>2025</v>
      </c>
      <c r="D14" s="5" t="inlineStr">
        <is>
          <t>31-33</t>
        </is>
      </c>
      <c r="E14" s="19" t="inlineStr"/>
      <c r="F14" s="20" t="inlineStr">
        <is>
          <t>Manufacturing</t>
        </is>
      </c>
      <c r="G14" s="21" t="n">
        <v>245</v>
      </c>
      <c r="H14" s="22" t="n">
        <v>5950</v>
      </c>
      <c r="I14" s="21" t="n">
        <v>5890</v>
      </c>
      <c r="J14" s="21" t="n">
        <v>6020</v>
      </c>
      <c r="K14" s="21" t="n">
        <v>5980</v>
      </c>
      <c r="L14" s="21" t="n">
        <v>5910</v>
      </c>
      <c r="M14" s="17" t="n">
        <v>0</v>
      </c>
      <c r="N14" s="23" t="inlineStr">
        <is>
          <t>Official Revised</t>
        </is>
      </c>
    </row>
    <row r="15" ht="21" customHeight="1">
      <c r="B15" s="12" t="inlineStr">
        <is>
          <t>EMP-2025-007</t>
        </is>
      </c>
      <c r="C15" s="13" t="n">
        <v>2025</v>
      </c>
      <c r="D15" s="12" t="inlineStr">
        <is>
          <t>44-45</t>
        </is>
      </c>
      <c r="E15" s="13" t="inlineStr"/>
      <c r="F15" s="14" t="inlineStr">
        <is>
          <t>Retail Trade</t>
        </is>
      </c>
      <c r="G15" s="15" t="n">
        <v>390</v>
      </c>
      <c r="H15" s="16" t="n">
        <v>6420</v>
      </c>
      <c r="I15" s="15" t="n">
        <v>6310</v>
      </c>
      <c r="J15" s="15" t="n">
        <v>6450</v>
      </c>
      <c r="K15" s="15" t="n">
        <v>6410</v>
      </c>
      <c r="L15" s="15" t="n">
        <v>6510</v>
      </c>
      <c r="M15" s="17" t="n">
        <v>0</v>
      </c>
      <c r="N15" s="18" t="inlineStr">
        <is>
          <t>Official Revised</t>
        </is>
      </c>
    </row>
    <row r="16" ht="21" customHeight="1">
      <c r="B16" s="5" t="inlineStr">
        <is>
          <t>EMP-2025-008</t>
        </is>
      </c>
      <c r="C16" s="19" t="n">
        <v>2025</v>
      </c>
      <c r="D16" s="5" t="inlineStr">
        <is>
          <t>62</t>
        </is>
      </c>
      <c r="E16" s="19" t="inlineStr"/>
      <c r="F16" s="20" t="inlineStr">
        <is>
          <t>Health Care and Social Assistance</t>
        </is>
      </c>
      <c r="G16" s="21" t="n">
        <v>410</v>
      </c>
      <c r="H16" s="22" t="n">
        <v>7850</v>
      </c>
      <c r="I16" s="21" t="n">
        <v>7780</v>
      </c>
      <c r="J16" s="21" t="n">
        <v>7840</v>
      </c>
      <c r="K16" s="21" t="n">
        <v>7870</v>
      </c>
      <c r="L16" s="21" t="n">
        <v>7910</v>
      </c>
      <c r="M16" s="17" t="n">
        <v>0</v>
      </c>
      <c r="N16" s="23" t="inlineStr">
        <is>
          <t>Official Revised</t>
        </is>
      </c>
    </row>
    <row r="17" ht="21" customHeight="1">
      <c r="B17" s="12" t="inlineStr">
        <is>
          <t>EMP-2025-009</t>
        </is>
      </c>
      <c r="C17" s="13" t="n">
        <v>2025</v>
      </c>
      <c r="D17" s="12" t="inlineStr">
        <is>
          <t>72</t>
        </is>
      </c>
      <c r="E17" s="13" t="inlineStr"/>
      <c r="F17" s="14" t="inlineStr">
        <is>
          <t>Accommodation and Food Services</t>
        </is>
      </c>
      <c r="G17" s="15" t="n">
        <v>285</v>
      </c>
      <c r="H17" s="16" t="n">
        <v>4150</v>
      </c>
      <c r="I17" s="15" t="n">
        <v>3980</v>
      </c>
      <c r="J17" s="15" t="n">
        <v>4320</v>
      </c>
      <c r="K17" s="15" t="n">
        <v>4310</v>
      </c>
      <c r="L17" s="15" t="n">
        <v>3990</v>
      </c>
      <c r="M17" s="17" t="n">
        <v>0</v>
      </c>
      <c r="N17" s="18" t="inlineStr">
        <is>
          <t>Official Revised</t>
        </is>
      </c>
    </row>
    <row r="18" ht="21" customHeight="1">
      <c r="B18" s="5" t="inlineStr">
        <is>
          <t>EMP-2025-010</t>
        </is>
      </c>
      <c r="C18" s="19" t="n">
        <v>2025</v>
      </c>
      <c r="D18" s="5" t="inlineStr">
        <is>
          <t>92</t>
        </is>
      </c>
      <c r="E18" s="19" t="inlineStr"/>
      <c r="F18" s="20" t="inlineStr">
        <is>
          <t>Public Administration (Government)</t>
        </is>
      </c>
      <c r="G18" s="21" t="n">
        <v>95</v>
      </c>
      <c r="H18" s="22" t="n">
        <v>3450</v>
      </c>
      <c r="I18" s="21" t="n">
        <v>3420</v>
      </c>
      <c r="J18" s="21" t="n">
        <v>3460</v>
      </c>
      <c r="K18" s="21" t="n">
        <v>3440</v>
      </c>
      <c r="L18" s="21" t="n">
        <v>3480</v>
      </c>
      <c r="M18" s="17" t="n">
        <v>0</v>
      </c>
      <c r="N18" s="23" t="inlineStr">
        <is>
          <t>Official Revised</t>
        </is>
      </c>
    </row>
  </sheetData>
  <mergeCells count="2">
    <mergeCell ref="F5:I5"/>
    <mergeCell ref="B5:E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4"/>
  <sheetViews>
    <sheetView showGridLines="1" workbookViewId="0">
      <selection activeCell="A1" sqref="A1"/>
    </sheetView>
  </sheetViews>
  <sheetFormatPr baseColWidth="8" defaultRowHeight="15"/>
  <cols>
    <col width="32" customWidth="1" min="1" max="1"/>
    <col width="30" customWidth="1" min="2" max="2"/>
    <col width="32" customWidth="1" min="3" max="3"/>
    <col width="45" customWidth="1" min="4" max="4"/>
  </cols>
  <sheetData>
    <row r="1">
      <c r="A1" s="26" t="inlineStr">
        <is>
          <t>Jurisdiction_Master</t>
        </is>
      </c>
      <c r="B1" s="26" t="inlineStr">
        <is>
          <t>UGA_Classification</t>
        </is>
      </c>
      <c r="C1" s="27" t="inlineStr">
        <is>
          <t>Official_Header_Schema</t>
        </is>
      </c>
      <c r="D1" s="26" t="inlineStr">
        <is>
          <t>Canonical_Signature_Key</t>
        </is>
      </c>
    </row>
    <row r="2">
      <c r="A2" s="7" t="inlineStr">
        <is>
          <t>Anacortes</t>
        </is>
      </c>
      <c r="B2" s="7" t="inlineStr">
        <is>
          <t>Incorporated City/Town</t>
        </is>
      </c>
      <c r="C2" s="6" t="inlineStr">
        <is>
          <t>Record_ID</t>
        </is>
      </c>
      <c r="D2" s="28" t="inlineStr">
        <is>
          <t>Record_ID|Calendar_Year|NAICS_2Digit_Code|NAICS_3Digit_Code|Industry_Subsector_Title|Average_Establishments|Annual_Average_Employment|Q1_Employment|Q2_Employment|Q3_Employment|Q4_Employment|YoY_Employment_Change|Data_Release_Status</t>
        </is>
      </c>
    </row>
    <row r="3">
      <c r="A3" s="7" t="inlineStr">
        <is>
          <t>Burlington</t>
        </is>
      </c>
      <c r="B3" s="7" t="inlineStr">
        <is>
          <t>Urban Growth Area (UGA)</t>
        </is>
      </c>
      <c r="C3" s="6" t="inlineStr">
        <is>
          <t>Calendar_Year</t>
        </is>
      </c>
    </row>
    <row r="4">
      <c r="A4" s="7" t="inlineStr">
        <is>
          <t>Concrete</t>
        </is>
      </c>
      <c r="B4" s="7" t="inlineStr">
        <is>
          <t>Unincorporated Rural Area</t>
        </is>
      </c>
      <c r="C4" s="6" t="inlineStr">
        <is>
          <t>NAICS_2Digit_Code</t>
        </is>
      </c>
    </row>
    <row r="5">
      <c r="A5" s="7" t="inlineStr">
        <is>
          <t>Hamilton</t>
        </is>
      </c>
      <c r="C5" s="6" t="inlineStr">
        <is>
          <t>NAICS_3Digit_Code</t>
        </is>
      </c>
    </row>
    <row r="6">
      <c r="A6" s="7" t="inlineStr">
        <is>
          <t>La Conner</t>
        </is>
      </c>
      <c r="C6" s="6" t="inlineStr">
        <is>
          <t>Industry_Subsector_Title</t>
        </is>
      </c>
    </row>
    <row r="7">
      <c r="A7" s="7" t="inlineStr">
        <is>
          <t>Lyman</t>
        </is>
      </c>
      <c r="C7" s="6" t="inlineStr">
        <is>
          <t>Average_Establishments</t>
        </is>
      </c>
    </row>
    <row r="8">
      <c r="A8" s="7" t="inlineStr">
        <is>
          <t>Mount Vernon</t>
        </is>
      </c>
      <c r="C8" s="6" t="inlineStr">
        <is>
          <t>Annual_Average_Employment</t>
        </is>
      </c>
    </row>
    <row r="9">
      <c r="A9" s="7" t="inlineStr">
        <is>
          <t>Sedro-Woolley</t>
        </is>
      </c>
      <c r="C9" s="6" t="inlineStr">
        <is>
          <t>Q1_Employment</t>
        </is>
      </c>
    </row>
    <row r="10">
      <c r="A10" s="7" t="inlineStr">
        <is>
          <t>Bay View Ridge UGA</t>
        </is>
      </c>
      <c r="C10" s="6" t="inlineStr">
        <is>
          <t>Q2_Employment</t>
        </is>
      </c>
    </row>
    <row r="11">
      <c r="A11" s="7" t="inlineStr">
        <is>
          <t>Swinomish UGA</t>
        </is>
      </c>
      <c r="C11" s="6" t="inlineStr">
        <is>
          <t>Q3_Employment</t>
        </is>
      </c>
    </row>
    <row r="12">
      <c r="A12" s="7" t="inlineStr">
        <is>
          <t>Unincorporated Skagit County</t>
        </is>
      </c>
      <c r="C12" s="6" t="inlineStr">
        <is>
          <t>Q4_Employment</t>
        </is>
      </c>
    </row>
    <row r="13">
      <c r="C13" s="6" t="inlineStr">
        <is>
          <t>YoY_Employment_Change</t>
        </is>
      </c>
    </row>
    <row r="14">
      <c r="C14" s="6" t="inlineStr">
        <is>
          <t>Data_Release_Status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2026-10-08T15:07:06Z</dcterms:created>
  <dcterms:modified xsi:type="dcterms:W3CDTF">2026-10-08T15:07:06Z</dcterms:modified>
</cp:coreProperties>
</file>
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Housing_AMI_Master" sheetId="2" state="visible" r:id="rId4"/>
    <sheet name="Ref_Lookup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<sst xmlns="http://schemas.openxmlformats.org/spreadsheetml/2006/main" count="144" uniqueCount="78">
  <si>
    <t xml:space="preserve">SCOG Housing Affordability by AMI Intake</t>
  </si>
  <si>
    <t xml:space="preserve">Housing Unit Production Categorized by Area Median Income (AMI) Tiers (GMA Compliance)</t>
  </si>
  <si>
    <t xml:space="preserve">Official Skagit Council of Governments (SCOG) Standard Data Template</t>
  </si>
  <si>
    <t xml:space="preserve">Standard Operating Procedure (SOP) for Annual Updates</t>
  </si>
  <si>
    <t xml:space="preserve">Step 1</t>
  </si>
  <si>
    <t xml:space="preserve">Receive Jurisdiction AMI Data</t>
  </si>
  <si>
    <t xml:space="preserve">Each year, local jurisdictions and Skagit County Public Health classify newly permitted units into Area Median Income (AMI) affordability tiers.</t>
  </si>
  <si>
    <t xml:space="preserve">Step 2</t>
  </si>
  <si>
    <t xml:space="preserve">Confirm Schema Validation</t>
  </si>
  <si>
    <t xml:space="preserve">Ensure Cell B5 confirms official schema match before saving.</t>
  </si>
  <si>
    <t xml:space="preserve">Step 3</t>
  </si>
  <si>
    <t xml:space="preserve">Input Housing Structure Units</t>
  </si>
  <si>
    <t xml:space="preserve">Enter net units into 1-unit, 2-unit, 3-4 unit, and 5+ unit rows across AMI tiers.</t>
  </si>
  <si>
    <t xml:space="preserve">Step 4</t>
  </si>
  <si>
    <t xml:space="preserve">Reconcile with OFM Totals</t>
  </si>
  <si>
    <t xml:space="preserve">Column L (Total Permitted Units) computes the row sum. Reconcile this sum against total permits in Template_Housing_Permits_Master.</t>
  </si>
  <si>
    <t xml:space="preserve">Step 5</t>
  </si>
  <si>
    <t xml:space="preserve">Publish to SharePoint</t>
  </si>
  <si>
    <t xml:space="preserve">Save workbook to SharePoint repository.</t>
  </si>
  <si>
    <t xml:space="preserve">SCOG Annual Growth Monitoring Report — Master Housing Affordability (AMI)</t>
  </si>
  <si>
    <t xml:space="preserve">Housing Unit Distribution Across Area Median Income (AMI) Brackets by Jurisdiction</t>
  </si>
  <si>
    <t xml:space="preserve">Record_ID</t>
  </si>
  <si>
    <t xml:space="preserve">Reporting_Year</t>
  </si>
  <si>
    <t xml:space="preserve">Jurisdiction</t>
  </si>
  <si>
    <t xml:space="preserve">Structure_Type</t>
  </si>
  <si>
    <t xml:space="preserve">AMI_0_to_30_Pct_Units</t>
  </si>
  <si>
    <t xml:space="preserve">AMI_31_to_50_Pct_Units</t>
  </si>
  <si>
    <t xml:space="preserve">AMI_51_to_80_Pct_Units</t>
  </si>
  <si>
    <t xml:space="preserve">AMI_81_to_100_Pct_Units</t>
  </si>
  <si>
    <t xml:space="preserve">AMI_101_to_120_Pct_Units</t>
  </si>
  <si>
    <t xml:space="preserve">AMI_Greater_120_Pct_Units</t>
  </si>
  <si>
    <t xml:space="preserve">Total_Units_Row_Sum</t>
  </si>
  <si>
    <t xml:space="preserve">Reconciliation_Status</t>
  </si>
  <si>
    <t xml:space="preserve">AMI-2025-001</t>
  </si>
  <si>
    <t xml:space="preserve">Anacortes</t>
  </si>
  <si>
    <t xml:space="preserve">1-unit (Single Family)</t>
  </si>
  <si>
    <t xml:space="preserve">Default Allocation (WA Commerce Exhibit 12) — Local 2025 AMI datasheets not yet due (10/20); not a jurisdiction-verified split</t>
  </si>
  <si>
    <t xml:space="preserve">AMI-2025-002</t>
  </si>
  <si>
    <t xml:space="preserve">2-units (Duplex)</t>
  </si>
  <si>
    <t xml:space="preserve">AMI-2025-003</t>
  </si>
  <si>
    <t xml:space="preserve">3-4 units (Multi-Family)</t>
  </si>
  <si>
    <t xml:space="preserve">AMI-2025-004</t>
  </si>
  <si>
    <t xml:space="preserve">5+ units (Multi-Family)</t>
  </si>
  <si>
    <t xml:space="preserve">AMI-2025-005</t>
  </si>
  <si>
    <t xml:space="preserve">ADU (Accessory Dwelling)</t>
  </si>
  <si>
    <t xml:space="preserve">AMI-2025-006</t>
  </si>
  <si>
    <t xml:space="preserve">Burlington</t>
  </si>
  <si>
    <t xml:space="preserve">AMI-2025-007</t>
  </si>
  <si>
    <t xml:space="preserve">AMI-2025-008</t>
  </si>
  <si>
    <t xml:space="preserve">AMI-2025-009</t>
  </si>
  <si>
    <t xml:space="preserve">AMI-2025-010</t>
  </si>
  <si>
    <t xml:space="preserve">AMI-2025-011</t>
  </si>
  <si>
    <t xml:space="preserve">Mount Vernon</t>
  </si>
  <si>
    <t xml:space="preserve">AMI-2025-012</t>
  </si>
  <si>
    <t xml:space="preserve">AMI-2025-013</t>
  </si>
  <si>
    <t xml:space="preserve">AMI-2025-014</t>
  </si>
  <si>
    <t xml:space="preserve">AMI-2025-015</t>
  </si>
  <si>
    <t xml:space="preserve">AMI-2025-016</t>
  </si>
  <si>
    <t xml:space="preserve">Sedro-Woolley</t>
  </si>
  <si>
    <t xml:space="preserve">AMI-2025-017</t>
  </si>
  <si>
    <t xml:space="preserve">AMI-2025-018</t>
  </si>
  <si>
    <t xml:space="preserve">AMI-2025-019</t>
  </si>
  <si>
    <t xml:space="preserve">AMI-2025-020</t>
  </si>
  <si>
    <t xml:space="preserve">Jurisdiction_Master</t>
  </si>
  <si>
    <t xml:space="preserve">UGA_Classification</t>
  </si>
  <si>
    <t xml:space="preserve">Official_Header_Schema</t>
  </si>
  <si>
    <t xml:space="preserve">Canonical_Signature_Key</t>
  </si>
  <si>
    <t xml:space="preserve">Incorporated City/Town</t>
  </si>
  <si>
    <t xml:space="preserve">Record_ID|Reporting_Year|Jurisdiction|Structure_Type|AMI_0_to_30_Pct_Units|AMI_31_to_50_Pct_Units|AMI_51_to_80_Pct_Units|AMI_81_to_100_Pct_Units|AMI_101_to_120_Pct_Units|AMI_Greater_120_Pct_Units|Total_Units_Row_Sum|Reconciliation_Status</t>
  </si>
  <si>
    <t xml:space="preserve">Urban Growth Area (UGA)</t>
  </si>
  <si>
    <t xml:space="preserve">Concrete</t>
  </si>
  <si>
    <t xml:space="preserve">Unincorporated Rural Area</t>
  </si>
  <si>
    <t xml:space="preserve">Hamilton</t>
  </si>
  <si>
    <t xml:space="preserve">La Conner</t>
  </si>
  <si>
    <t xml:space="preserve">Lyman</t>
  </si>
  <si>
    <t xml:space="preserve">Bay View Ridge UGA</t>
  </si>
  <si>
    <t xml:space="preserve">Swinomish UGA</t>
  </si>
  <si>
    <t xml:space="preserve">Unincorporated Skagit County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</si>
</sst>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0F2942"/>
      <name val="Segoe UI"/>
      <family val="0"/>
      <charset val="1"/>
    </font>
    <font>
      <sz val="10.5"/>
      <color rgb="FF475569"/>
      <name val="Segoe UI"/>
      <family val="0"/>
      <charset val="1"/>
    </font>
    <font>
      <i val="true"/>
      <sz val="9"/>
      <color rgb="FF64748B"/>
      <name val="Segoe UI"/>
      <family val="0"/>
      <charset val="1"/>
    </font>
    <font>
      <b val="true"/>
      <sz val="11"/>
      <color rgb="FF0F2942"/>
      <name val="Segoe UI"/>
      <family val="0"/>
      <charset val="1"/>
    </font>
    <font>
      <b val="true"/>
      <sz val="9.5"/>
      <color rgb="FF0F172A"/>
      <name val="Segoe UI"/>
      <family val="0"/>
      <charset val="1"/>
    </font>
    <font>
      <sz val="9.5"/>
      <color rgb="FF0F172A"/>
      <name val="Segoe UI"/>
      <family val="0"/>
      <charset val="1"/>
    </font>
    <font>
      <b val="true"/>
      <sz val="10.5"/>
      <color rgb="FF166534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b val="true"/>
      <sz val="9.5"/>
      <color rgb="FF1E40AF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1F5F9"/>
        <bgColor rgb="FFEFF6FF"/>
      </patternFill>
    </fill>
    <fill>
      <patternFill patternType="solid">
        <fgColor rgb="FFF8FAFC"/>
        <bgColor rgb="FFFFFFFF"/>
      </patternFill>
    </fill>
    <fill>
      <patternFill patternType="solid">
        <fgColor rgb="FFDCFCE7"/>
        <bgColor rgb="FFEFF6FF"/>
      </patternFill>
    </fill>
    <fill>
      <patternFill patternType="solid">
        <fgColor rgb="FF0F2942"/>
        <bgColor rgb="FF0F172A"/>
      </patternFill>
    </fill>
    <fill>
      <patternFill patternType="solid">
        <fgColor rgb="FFEFF6FF"/>
        <bgColor rgb="FFF1F5F9"/>
      </patternFill>
    </fill>
    <fill>
      <patternFill patternType="solid">
        <fgColor rgb="FF1E40AF"/>
        <bgColor rgb="FF0066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left" vertical="center" textRotation="0" wrapText="true" indent="0" shrinkToFit="false"/>
      <protection locked="true" hidden="true"/>
    </xf>
    <xf numFmtId="164" fontId="10" fillId="4" borderId="1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1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9" fillId="0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12" fillId="6" borderId="1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3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9" fillId="3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0F2942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FF6FF"/>
          <bgColor rgb="FF000000"/>
        </patternFill>
      </fill>
    </dxf>
    <dxf>
      <fill>
        <patternFill patternType="solid">
          <fgColor rgb="FF1E40AF"/>
          <bgColor rgb="FF000000"/>
        </patternFill>
      </fill>
    </dxf>
    <dxf>
      <fill>
        <patternFill patternType="solid">
          <fgColor rgb="FF64748B"/>
          <bgColor rgb="FF000000"/>
        </patternFill>
      </fill>
    </dxf>
    <dxf>
      <font>
        <name val="Segoe UI"/>
        <charset val="1"/>
        <family val="0"/>
        <b val="1"/>
        <color rgb="FF991B1B"/>
        <sz val="10"/>
      </font>
      <fill>
        <patternFill>
          <bgColor rgb="FFFE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6FF"/>
      <rgbColor rgb="FFF1F5F9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F2942"/>
      <rgbColor rgb="FF339966"/>
      <rgbColor rgb="FF0F172A"/>
      <rgbColor rgb="FF333300"/>
      <rgbColor rgb="FF991B1B"/>
      <rgbColor rgb="FF993366"/>
      <rgbColor rgb="FF1E40AF"/>
      <rgbColor rgb="FF47556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Housing_AMI_Master_Tbl" displayName="Housing_AMI_Master_Tbl" ref="B8:M28" headerRowCount="1" totalsRowCount="0" totalsRowShown="0">
  <autoFilter ref="B8:M28"/>
  <tableColumns count="12">
    <tableColumn id="1" name="Record_ID"/>
    <tableColumn id="2" name="Reporting_Year"/>
    <tableColumn id="3" name="Jurisdiction"/>
    <tableColumn id="4" name="Structure_Type"/>
    <tableColumn id="5" name="AMI_0_to_30_Pct_Units"/>
    <tableColumn id="6" name="AMI_31_to_50_Pct_Units"/>
    <tableColumn id="7" name="AMI_51_to_80_Pct_Units"/>
    <tableColumn id="8" name="AMI_81_to_100_Pct_Units"/>
    <tableColumn id="9" name="AMI_101_to_120_Pct_Units"/>
    <tableColumn id="10" name="AMI_Greater_120_Pct_Units"/>
    <tableColumn id="11" name="Total_Units_Row_Sum"/>
    <tableColumn id="12" name="Reconciliation_Stat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"/>
    <col collapsed="false" customWidth="true" hidden="false" outlineLevel="0" max="3" min="3" style="0" width="32"/>
    <col collapsed="false" customWidth="true" hidden="false" outlineLevel="0" max="4" min="4" style="0" width="75"/>
  </cols>
  <sheetData>
    <row r="2" customFormat="false" ht="22.5" hidden="false" customHeight="true" outlineLevel="0" collapsed="false">
      <c r="B2" s="1" t="s">
        <v>0</v>
      </c>
    </row>
    <row r="3" customFormat="false" ht="16.5" hidden="false" customHeight="true" outlineLevel="0" collapsed="false">
      <c r="B3" s="2" t="s">
        <v>1</v>
      </c>
    </row>
    <row r="4" customFormat="false" ht="15" hidden="false" customHeight="true" outlineLevel="0" collapsed="false">
      <c r="B4" s="3" t="s">
        <v>2</v>
      </c>
    </row>
    <row r="6" customFormat="false" ht="16.5" hidden="false" customHeight="true" outlineLevel="0" collapsed="false">
      <c r="B6" s="4" t="s">
        <v>3</v>
      </c>
      <c r="C6" s="4"/>
      <c r="D6" s="4"/>
      <c r="E6" s="4"/>
      <c r="F6" s="4"/>
      <c r="G6" s="4"/>
      <c r="H6" s="4"/>
    </row>
    <row r="7" customFormat="false" ht="27.75" hidden="false" customHeight="true" outlineLevel="0" collapsed="false">
      <c r="B7" s="5" t="s">
        <v>4</v>
      </c>
      <c r="C7" s="6" t="s">
        <v>5</v>
      </c>
      <c r="D7" s="7" t="s">
        <v>6</v>
      </c>
      <c r="E7" s="7"/>
      <c r="F7" s="7"/>
      <c r="G7" s="7"/>
      <c r="H7" s="7"/>
    </row>
    <row r="8" customFormat="false" ht="27.75" hidden="false" customHeight="true" outlineLevel="0" collapsed="false">
      <c r="B8" s="5" t="s">
        <v>7</v>
      </c>
      <c r="C8" s="6" t="s">
        <v>8</v>
      </c>
      <c r="D8" s="7" t="s">
        <v>9</v>
      </c>
      <c r="E8" s="7"/>
      <c r="F8" s="7"/>
      <c r="G8" s="7"/>
      <c r="H8" s="7"/>
    </row>
    <row r="9" customFormat="false" ht="27.75" hidden="false" customHeight="true" outlineLevel="0" collapsed="false">
      <c r="B9" s="5" t="s">
        <v>10</v>
      </c>
      <c r="C9" s="6" t="s">
        <v>11</v>
      </c>
      <c r="D9" s="7" t="s">
        <v>12</v>
      </c>
      <c r="E9" s="7"/>
      <c r="F9" s="7"/>
      <c r="G9" s="7"/>
      <c r="H9" s="7"/>
    </row>
    <row r="10" customFormat="false" ht="27.75" hidden="false" customHeight="true" outlineLevel="0" collapsed="false">
      <c r="B10" s="5" t="s">
        <v>13</v>
      </c>
      <c r="C10" s="6" t="s">
        <v>14</v>
      </c>
      <c r="D10" s="7" t="s">
        <v>15</v>
      </c>
      <c r="E10" s="7"/>
      <c r="F10" s="7"/>
      <c r="G10" s="7"/>
      <c r="H10" s="7"/>
    </row>
    <row r="11" customFormat="false" ht="27.75" hidden="false" customHeight="true" outlineLevel="0" collapsed="false">
      <c r="B11" s="5" t="s">
        <v>16</v>
      </c>
      <c r="C11" s="6" t="s">
        <v>17</v>
      </c>
      <c r="D11" s="7" t="s">
        <v>18</v>
      </c>
      <c r="E11" s="7"/>
      <c r="F11" s="7"/>
      <c r="G11" s="7"/>
      <c r="H11" s="7"/>
    </row>
  </sheetData>
  <mergeCells count="6">
    <mergeCell ref="B6:H6"/>
    <mergeCell ref="D7:H7"/>
    <mergeCell ref="D8:H8"/>
    <mergeCell ref="D9:H9"/>
    <mergeCell ref="D10:H10"/>
    <mergeCell ref="D11:H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15"/>
    <col collapsed="false" customWidth="true" hidden="false" outlineLevel="0" max="5" min="4" style="0" width="28"/>
    <col collapsed="false" customWidth="true" hidden="false" outlineLevel="0" max="8" min="6" style="0" width="22"/>
    <col collapsed="false" customWidth="true" hidden="false" outlineLevel="0" max="10" min="9" style="0" width="24"/>
    <col collapsed="false" customWidth="true" hidden="false" outlineLevel="0" max="11" min="11" style="0" width="26"/>
    <col collapsed="false" customWidth="true" hidden="false" outlineLevel="0" max="13" min="12" style="0" width="22"/>
  </cols>
  <sheetData>
    <row r="2" customFormat="false" ht="22.5" hidden="false" customHeight="true" outlineLevel="0" collapsed="false">
      <c r="B2" s="1" t="s">
        <v>19</v>
      </c>
    </row>
    <row r="3" customFormat="false" ht="16.5" hidden="false" customHeight="true" outlineLevel="0" collapsed="false">
      <c r="B3" s="2" t="s">
        <v>20</v>
      </c>
    </row>
    <row r="5" customFormat="false" ht="37.5" hidden="false" customHeight="true" outlineLevel="0" collapsed="false">
      <c r="B5" s="8" t="str">
        <f aca="false">IF(_xlfn.TEXTJOIN("|",TRUE(),B8:M8)=Ref_Lookup!$D$2, "✔ SCHEMA VALID: Columns Match Official Specification", "❌ SCHEMA ERROR: Column(s) altered: " &amp; _xlfn.TEXTJOIN(", ", TRUE(), IF(ISBLANK(B8), "'" &amp; Ref_Lookup!$C$2 &amp; "' [blank]", IF(B8&lt;&gt;Ref_Lookup!$C$2, "'" &amp; Ref_Lookup!$C$2 &amp; "' [found: '" &amp; B8 &amp; "']", "")), IF(ISBLANK(C8), "'" &amp; Ref_Lookup!$C$3 &amp; "' [blank]", IF(C8&lt;&gt;Ref_Lookup!$C$3, "'" &amp; Ref_Lookup!$C$3 &amp; "' [found: '" &amp; C8 &amp; "']", "")), IF(ISBLANK(D8), "'" &amp; Ref_Lookup!$C$4 &amp; "' [blank]", IF(D8&lt;&gt;Ref_Lookup!$C$4, "'" &amp; Ref_Lookup!$C$4 &amp; "' [found: '" &amp; D8 &amp; "']", "")), IF(ISBLANK(E8), "'" &amp; Ref_Lookup!$C$5 &amp; "' [blank]", IF(E8&lt;&gt;Ref_Lookup!$C$5, "'" &amp; Ref_Lookup!$C$5 &amp; "' [found: '" &amp; E8 &amp; "']", "")), IF(ISBLANK(F8), "'" &amp; Ref_Lookup!$C$6 &amp; "' [blank]", IF(F8&lt;&gt;Ref_Lookup!$C$6, "'" &amp; Ref_Lookup!$C$6 &amp; "' [found: '" &amp; F8 &amp; "']", "")), IF(ISBLANK(G8), "'" &amp; Ref_Lookup!$C$7 &amp; "' [blank]", IF(G8&lt;&gt;Ref_Lookup!$C$7, "'" &amp; Ref_Lookup!$C$7 &amp; "' [found: '" &amp; G8 &amp; "']", "")), IF(ISBLANK(H8), "'" &amp; Ref_Lookup!$C$8 &amp; "' [blank]", IF(H8&lt;&gt;Ref_Lookup!$C$8, "'" &amp; Ref_Lookup!$C$8 &amp; "' [found: '" &amp; H8 &amp; "']", "")), IF(ISBLANK(I8), "'" &amp; Ref_Lookup!$C$9 &amp; "' [blank]", IF(I8&lt;&gt;Ref_Lookup!$C$9, "'" &amp; Ref_Lookup!$C$9 &amp; "' [found: '" &amp; I8 &amp; "']", "")), IF(ISBLANK(J8), "'" &amp; Ref_Lookup!$C$10 &amp; "' [blank]", IF(J8&lt;&gt;Ref_Lookup!$C$10, "'" &amp; Ref_Lookup!$C$10 &amp; "' [found: '" &amp; J8 &amp; "']", "")), IF(ISBLANK(K8), "'" &amp; Ref_Lookup!$C$11 &amp; "' [blank]", IF(K8&lt;&gt;Ref_Lookup!$C$11, "'" &amp; Ref_Lookup!$C$11 &amp; "' [found: '" &amp; K8 &amp; "']", "")), IF(ISBLANK(L8), "'" &amp; Ref_Lookup!$C$12 &amp; "' [blank]", IF(L8&lt;&gt;Ref_Lookup!$C$12, "'" &amp; Ref_Lookup!$C$12 &amp; "' [found: '" &amp; L8 &amp; "']", "")), IF(ISBLANK(M8), "'" &amp; Ref_Lookup!$C$13 &amp; "' [blank]", IF(M8&lt;&gt;Ref_Lookup!$C$13, "'" &amp; Ref_Lookup!$C$13 &amp; "' [found: '" &amp; M8 &amp; "']", ""))))</f>
        <v>✔ SCHEMA VALID: Columns Match Official Specification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</row>
    <row r="6" customFormat="false" ht="24" hidden="false" customHeight="true" outlineLevel="0" collapsed="false">
      <c r="B6" s="9" t="str">
        <f aca="false">IF(SUM(L9:L35)&gt;0,"✔ INTEGRITY CHECK: AMI Units Reconciled","⚠ INTEGRITY WARNING: Unit totals missing! Input units across AMI tiers.")</f>
        <v>✔ INTEGRITY CHECK: AMI Units Reconciled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customFormat="false" ht="9.75" hidden="false" customHeight="true" outlineLevel="0" collapsed="false"/>
    <row r="8" customFormat="false" ht="27.75" hidden="false" customHeight="true" outlineLevel="0" collapsed="false">
      <c r="B8" s="10" t="s">
        <v>21</v>
      </c>
      <c r="C8" s="10" t="s">
        <v>22</v>
      </c>
      <c r="D8" s="10" t="s">
        <v>23</v>
      </c>
      <c r="E8" s="10" t="s">
        <v>24</v>
      </c>
      <c r="F8" s="10" t="s">
        <v>25</v>
      </c>
      <c r="G8" s="10" t="s">
        <v>26</v>
      </c>
      <c r="H8" s="10" t="s">
        <v>27</v>
      </c>
      <c r="I8" s="10" t="s">
        <v>28</v>
      </c>
      <c r="J8" s="10" t="s">
        <v>29</v>
      </c>
      <c r="K8" s="10" t="s">
        <v>30</v>
      </c>
      <c r="L8" s="10" t="s">
        <v>31</v>
      </c>
      <c r="M8" s="10" t="s">
        <v>32</v>
      </c>
    </row>
    <row r="9" customFormat="false" ht="21" hidden="false" customHeight="true" outlineLevel="0" collapsed="false">
      <c r="B9" s="11" t="s">
        <v>33</v>
      </c>
      <c r="C9" s="12" t="n">
        <v>2025</v>
      </c>
      <c r="D9" s="13" t="s">
        <v>34</v>
      </c>
      <c r="E9" s="13" t="s">
        <v>35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19</v>
      </c>
      <c r="L9" s="15" t="n">
        <f aca="false">SUM(F9:K9)</f>
        <v>19</v>
      </c>
      <c r="M9" s="16" t="s">
        <v>36</v>
      </c>
    </row>
    <row r="10" customFormat="false" ht="21" hidden="false" customHeight="true" outlineLevel="0" collapsed="false">
      <c r="B10" s="17" t="s">
        <v>37</v>
      </c>
      <c r="C10" s="18" t="n">
        <v>2025</v>
      </c>
      <c r="D10" s="19" t="s">
        <v>34</v>
      </c>
      <c r="E10" s="19" t="s">
        <v>38</v>
      </c>
      <c r="F10" s="20" t="n">
        <v>0</v>
      </c>
      <c r="G10" s="20" t="n">
        <v>0</v>
      </c>
      <c r="H10" s="20" t="n">
        <v>0</v>
      </c>
      <c r="I10" s="20" t="n">
        <v>0</v>
      </c>
      <c r="J10" s="20" t="n">
        <v>2</v>
      </c>
      <c r="K10" s="20" t="n">
        <v>0</v>
      </c>
      <c r="L10" s="15" t="n">
        <f aca="false">SUM(F10:K10)</f>
        <v>2</v>
      </c>
      <c r="M10" s="21" t="s">
        <v>36</v>
      </c>
    </row>
    <row r="11" customFormat="false" ht="21" hidden="false" customHeight="true" outlineLevel="0" collapsed="false">
      <c r="B11" s="11" t="s">
        <v>39</v>
      </c>
      <c r="C11" s="12" t="n">
        <v>2025</v>
      </c>
      <c r="D11" s="13" t="s">
        <v>34</v>
      </c>
      <c r="E11" s="13" t="s">
        <v>40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  <c r="L11" s="15" t="n">
        <f aca="false">SUM(F11:K11)</f>
        <v>0</v>
      </c>
      <c r="M11" s="16" t="s">
        <v>36</v>
      </c>
    </row>
    <row r="12" customFormat="false" ht="21" hidden="false" customHeight="true" outlineLevel="0" collapsed="false">
      <c r="B12" s="17" t="s">
        <v>41</v>
      </c>
      <c r="C12" s="18" t="n">
        <v>2025</v>
      </c>
      <c r="D12" s="19" t="s">
        <v>34</v>
      </c>
      <c r="E12" s="19" t="s">
        <v>42</v>
      </c>
      <c r="F12" s="20" t="n">
        <v>0</v>
      </c>
      <c r="G12" s="20" t="n">
        <v>0</v>
      </c>
      <c r="H12" s="20" t="n">
        <v>0</v>
      </c>
      <c r="I12" s="20" t="n">
        <v>0</v>
      </c>
      <c r="J12" s="20" t="n">
        <v>0</v>
      </c>
      <c r="K12" s="20" t="n">
        <v>0</v>
      </c>
      <c r="L12" s="15" t="n">
        <f aca="false">SUM(F12:K12)</f>
        <v>0</v>
      </c>
      <c r="M12" s="21" t="s">
        <v>36</v>
      </c>
    </row>
    <row r="13" customFormat="false" ht="21" hidden="false" customHeight="true" outlineLevel="0" collapsed="false">
      <c r="B13" s="11" t="s">
        <v>43</v>
      </c>
      <c r="C13" s="12" t="n">
        <v>2025</v>
      </c>
      <c r="D13" s="13" t="s">
        <v>34</v>
      </c>
      <c r="E13" s="13" t="s">
        <v>44</v>
      </c>
      <c r="F13" s="14" t="n">
        <v>0</v>
      </c>
      <c r="G13" s="14" t="n">
        <v>0</v>
      </c>
      <c r="H13" s="14" t="n">
        <v>0</v>
      </c>
      <c r="I13" s="14" t="n">
        <v>10</v>
      </c>
      <c r="J13" s="14" t="n">
        <v>0</v>
      </c>
      <c r="K13" s="14" t="n">
        <v>0</v>
      </c>
      <c r="L13" s="15" t="n">
        <f aca="false">SUM(F13:K13)</f>
        <v>10</v>
      </c>
      <c r="M13" s="16" t="s">
        <v>36</v>
      </c>
    </row>
    <row r="14" customFormat="false" ht="21" hidden="false" customHeight="true" outlineLevel="0" collapsed="false">
      <c r="B14" s="17" t="s">
        <v>45</v>
      </c>
      <c r="C14" s="18" t="n">
        <v>2025</v>
      </c>
      <c r="D14" s="19" t="s">
        <v>46</v>
      </c>
      <c r="E14" s="19" t="s">
        <v>35</v>
      </c>
      <c r="F14" s="20" t="n">
        <v>0</v>
      </c>
      <c r="G14" s="20" t="n">
        <v>0</v>
      </c>
      <c r="H14" s="20" t="n">
        <v>0</v>
      </c>
      <c r="I14" s="20" t="n">
        <v>0</v>
      </c>
      <c r="J14" s="20" t="n">
        <v>0</v>
      </c>
      <c r="K14" s="20" t="n">
        <v>4</v>
      </c>
      <c r="L14" s="15" t="n">
        <f aca="false">SUM(F14:K14)</f>
        <v>4</v>
      </c>
      <c r="M14" s="21" t="s">
        <v>36</v>
      </c>
    </row>
    <row r="15" customFormat="false" ht="21" hidden="false" customHeight="true" outlineLevel="0" collapsed="false">
      <c r="B15" s="11" t="s">
        <v>47</v>
      </c>
      <c r="C15" s="12" t="n">
        <v>2025</v>
      </c>
      <c r="D15" s="13" t="s">
        <v>46</v>
      </c>
      <c r="E15" s="13" t="s">
        <v>38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5" t="n">
        <f aca="false">SUM(F15:K15)</f>
        <v>0</v>
      </c>
      <c r="M15" s="16" t="s">
        <v>36</v>
      </c>
    </row>
    <row r="16" customFormat="false" ht="21" hidden="false" customHeight="true" outlineLevel="0" collapsed="false">
      <c r="B16" s="17" t="s">
        <v>48</v>
      </c>
      <c r="C16" s="18" t="n">
        <v>2025</v>
      </c>
      <c r="D16" s="19" t="s">
        <v>46</v>
      </c>
      <c r="E16" s="19" t="s">
        <v>40</v>
      </c>
      <c r="F16" s="20" t="n">
        <v>0</v>
      </c>
      <c r="G16" s="20" t="n">
        <v>0</v>
      </c>
      <c r="H16" s="20" t="n">
        <v>0</v>
      </c>
      <c r="I16" s="20" t="n">
        <v>0</v>
      </c>
      <c r="J16" s="20" t="n">
        <v>0</v>
      </c>
      <c r="K16" s="20" t="n">
        <v>0</v>
      </c>
      <c r="L16" s="15" t="n">
        <f aca="false">SUM(F16:K16)</f>
        <v>0</v>
      </c>
      <c r="M16" s="21" t="s">
        <v>36</v>
      </c>
    </row>
    <row r="17" customFormat="false" ht="21" hidden="false" customHeight="true" outlineLevel="0" collapsed="false">
      <c r="B17" s="11" t="s">
        <v>49</v>
      </c>
      <c r="C17" s="12" t="n">
        <v>2025</v>
      </c>
      <c r="D17" s="13" t="s">
        <v>46</v>
      </c>
      <c r="E17" s="13" t="s">
        <v>42</v>
      </c>
      <c r="F17" s="14" t="n">
        <v>0</v>
      </c>
      <c r="G17" s="14" t="n">
        <v>0</v>
      </c>
      <c r="H17" s="14" t="n">
        <v>0</v>
      </c>
      <c r="I17" s="14" t="n">
        <v>211</v>
      </c>
      <c r="J17" s="14" t="n">
        <v>0</v>
      </c>
      <c r="K17" s="14" t="n">
        <v>0</v>
      </c>
      <c r="L17" s="15" t="n">
        <f aca="false">SUM(F17:K17)</f>
        <v>211</v>
      </c>
      <c r="M17" s="16" t="s">
        <v>36</v>
      </c>
    </row>
    <row r="18" customFormat="false" ht="21" hidden="false" customHeight="true" outlineLevel="0" collapsed="false">
      <c r="B18" s="17" t="s">
        <v>50</v>
      </c>
      <c r="C18" s="18" t="n">
        <v>2025</v>
      </c>
      <c r="D18" s="19" t="s">
        <v>46</v>
      </c>
      <c r="E18" s="19" t="s">
        <v>44</v>
      </c>
      <c r="F18" s="20" t="n">
        <v>0</v>
      </c>
      <c r="G18" s="20" t="n">
        <v>0</v>
      </c>
      <c r="H18" s="20" t="n">
        <v>0</v>
      </c>
      <c r="I18" s="20" t="n">
        <v>2</v>
      </c>
      <c r="J18" s="20" t="n">
        <v>0</v>
      </c>
      <c r="K18" s="20" t="n">
        <v>0</v>
      </c>
      <c r="L18" s="15" t="n">
        <f aca="false">SUM(F18:K18)</f>
        <v>2</v>
      </c>
      <c r="M18" s="21" t="s">
        <v>36</v>
      </c>
    </row>
    <row r="19" customFormat="false" ht="21" hidden="false" customHeight="true" outlineLevel="0" collapsed="false">
      <c r="B19" s="11" t="s">
        <v>51</v>
      </c>
      <c r="C19" s="12" t="n">
        <v>2025</v>
      </c>
      <c r="D19" s="13" t="s">
        <v>52</v>
      </c>
      <c r="E19" s="13" t="s">
        <v>35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17</v>
      </c>
      <c r="L19" s="15" t="n">
        <f aca="false">SUM(F19:K19)</f>
        <v>17</v>
      </c>
      <c r="M19" s="16" t="s">
        <v>36</v>
      </c>
    </row>
    <row r="20" customFormat="false" ht="21" hidden="false" customHeight="true" outlineLevel="0" collapsed="false">
      <c r="B20" s="17" t="s">
        <v>53</v>
      </c>
      <c r="C20" s="18" t="n">
        <v>2025</v>
      </c>
      <c r="D20" s="19" t="s">
        <v>52</v>
      </c>
      <c r="E20" s="19" t="s">
        <v>38</v>
      </c>
      <c r="F20" s="20" t="n">
        <v>0</v>
      </c>
      <c r="G20" s="20" t="n">
        <v>0</v>
      </c>
      <c r="H20" s="20" t="n">
        <v>0</v>
      </c>
      <c r="I20" s="20" t="n">
        <v>0</v>
      </c>
      <c r="J20" s="20" t="n">
        <v>3</v>
      </c>
      <c r="K20" s="20" t="n">
        <v>0</v>
      </c>
      <c r="L20" s="15" t="n">
        <f aca="false">SUM(F20:K20)</f>
        <v>3</v>
      </c>
      <c r="M20" s="21" t="s">
        <v>36</v>
      </c>
    </row>
    <row r="21" customFormat="false" ht="21" hidden="false" customHeight="true" outlineLevel="0" collapsed="false">
      <c r="B21" s="11" t="s">
        <v>54</v>
      </c>
      <c r="C21" s="12" t="n">
        <v>2025</v>
      </c>
      <c r="D21" s="13" t="s">
        <v>52</v>
      </c>
      <c r="E21" s="13" t="s">
        <v>40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5" t="n">
        <f aca="false">SUM(F21:K21)</f>
        <v>0</v>
      </c>
      <c r="M21" s="16" t="s">
        <v>36</v>
      </c>
    </row>
    <row r="22" customFormat="false" ht="21" hidden="false" customHeight="true" outlineLevel="0" collapsed="false">
      <c r="B22" s="17" t="s">
        <v>55</v>
      </c>
      <c r="C22" s="18" t="n">
        <v>2025</v>
      </c>
      <c r="D22" s="19" t="s">
        <v>52</v>
      </c>
      <c r="E22" s="19" t="s">
        <v>42</v>
      </c>
      <c r="F22" s="20" t="n">
        <v>0</v>
      </c>
      <c r="G22" s="20" t="n">
        <v>0</v>
      </c>
      <c r="H22" s="20" t="n">
        <v>0</v>
      </c>
      <c r="I22" s="20" t="n">
        <v>0</v>
      </c>
      <c r="J22" s="20" t="n">
        <v>0</v>
      </c>
      <c r="K22" s="20" t="n">
        <v>0</v>
      </c>
      <c r="L22" s="15" t="n">
        <f aca="false">SUM(F22:K22)</f>
        <v>0</v>
      </c>
      <c r="M22" s="21" t="s">
        <v>36</v>
      </c>
    </row>
    <row r="23" customFormat="false" ht="21" hidden="false" customHeight="true" outlineLevel="0" collapsed="false">
      <c r="B23" s="11" t="s">
        <v>56</v>
      </c>
      <c r="C23" s="12" t="n">
        <v>2025</v>
      </c>
      <c r="D23" s="13" t="s">
        <v>52</v>
      </c>
      <c r="E23" s="13" t="s">
        <v>44</v>
      </c>
      <c r="F23" s="14" t="n">
        <v>0</v>
      </c>
      <c r="G23" s="14" t="n">
        <v>0</v>
      </c>
      <c r="H23" s="14" t="n">
        <v>0</v>
      </c>
      <c r="I23" s="14" t="n">
        <v>3</v>
      </c>
      <c r="J23" s="14" t="n">
        <v>0</v>
      </c>
      <c r="K23" s="14" t="n">
        <v>0</v>
      </c>
      <c r="L23" s="15" t="n">
        <f aca="false">SUM(F23:K23)</f>
        <v>3</v>
      </c>
      <c r="M23" s="16" t="s">
        <v>36</v>
      </c>
    </row>
    <row r="24" customFormat="false" ht="21" hidden="false" customHeight="true" outlineLevel="0" collapsed="false">
      <c r="B24" s="17" t="s">
        <v>57</v>
      </c>
      <c r="C24" s="18" t="n">
        <v>2025</v>
      </c>
      <c r="D24" s="19" t="s">
        <v>58</v>
      </c>
      <c r="E24" s="19" t="s">
        <v>35</v>
      </c>
      <c r="F24" s="20" t="n">
        <v>0</v>
      </c>
      <c r="G24" s="20" t="n">
        <v>0</v>
      </c>
      <c r="H24" s="20" t="n">
        <v>0</v>
      </c>
      <c r="I24" s="20" t="n">
        <v>0</v>
      </c>
      <c r="J24" s="20" t="n">
        <v>0</v>
      </c>
      <c r="K24" s="20" t="n">
        <v>35</v>
      </c>
      <c r="L24" s="15" t="n">
        <f aca="false">SUM(F24:K24)</f>
        <v>35</v>
      </c>
      <c r="M24" s="21" t="s">
        <v>36</v>
      </c>
    </row>
    <row r="25" customFormat="false" ht="21" hidden="false" customHeight="true" outlineLevel="0" collapsed="false">
      <c r="B25" s="11" t="s">
        <v>59</v>
      </c>
      <c r="C25" s="12" t="n">
        <v>2025</v>
      </c>
      <c r="D25" s="13" t="s">
        <v>58</v>
      </c>
      <c r="E25" s="13" t="s">
        <v>38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5" t="n">
        <f aca="false">SUM(F25:K25)</f>
        <v>0</v>
      </c>
      <c r="M25" s="16" t="s">
        <v>36</v>
      </c>
    </row>
    <row r="26" customFormat="false" ht="21" hidden="false" customHeight="true" outlineLevel="0" collapsed="false">
      <c r="B26" s="17" t="s">
        <v>60</v>
      </c>
      <c r="C26" s="18" t="n">
        <v>2025</v>
      </c>
      <c r="D26" s="19" t="s">
        <v>58</v>
      </c>
      <c r="E26" s="19" t="s">
        <v>40</v>
      </c>
      <c r="F26" s="20" t="n">
        <v>0</v>
      </c>
      <c r="G26" s="20" t="n">
        <v>0</v>
      </c>
      <c r="H26" s="20" t="n">
        <v>0</v>
      </c>
      <c r="I26" s="20" t="n">
        <v>0</v>
      </c>
      <c r="J26" s="20" t="n">
        <v>3</v>
      </c>
      <c r="K26" s="20" t="n">
        <v>0</v>
      </c>
      <c r="L26" s="15" t="n">
        <f aca="false">SUM(F26:K26)</f>
        <v>3</v>
      </c>
      <c r="M26" s="21" t="s">
        <v>36</v>
      </c>
    </row>
    <row r="27" customFormat="false" ht="21" hidden="false" customHeight="true" outlineLevel="0" collapsed="false">
      <c r="B27" s="11" t="s">
        <v>61</v>
      </c>
      <c r="C27" s="12" t="n">
        <v>2025</v>
      </c>
      <c r="D27" s="13" t="s">
        <v>58</v>
      </c>
      <c r="E27" s="13" t="s">
        <v>42</v>
      </c>
      <c r="F27" s="14" t="n">
        <v>0</v>
      </c>
      <c r="G27" s="14" t="n">
        <v>0</v>
      </c>
      <c r="H27" s="14" t="n">
        <v>0</v>
      </c>
      <c r="I27" s="14" t="n">
        <v>15</v>
      </c>
      <c r="J27" s="14" t="n">
        <v>0</v>
      </c>
      <c r="K27" s="14" t="n">
        <v>0</v>
      </c>
      <c r="L27" s="15" t="n">
        <f aca="false">SUM(F27:K27)</f>
        <v>15</v>
      </c>
      <c r="M27" s="16" t="s">
        <v>36</v>
      </c>
    </row>
    <row r="28" customFormat="false" ht="21" hidden="false" customHeight="true" outlineLevel="0" collapsed="false">
      <c r="B28" s="17" t="s">
        <v>62</v>
      </c>
      <c r="C28" s="18" t="n">
        <v>2025</v>
      </c>
      <c r="D28" s="19" t="s">
        <v>58</v>
      </c>
      <c r="E28" s="19" t="s">
        <v>44</v>
      </c>
      <c r="F28" s="20" t="n">
        <v>0</v>
      </c>
      <c r="G28" s="20" t="n">
        <v>0</v>
      </c>
      <c r="H28" s="20" t="n">
        <v>0</v>
      </c>
      <c r="I28" s="20" t="n">
        <v>3</v>
      </c>
      <c r="J28" s="20" t="n">
        <v>0</v>
      </c>
      <c r="K28" s="20" t="n">
        <v>0</v>
      </c>
      <c r="L28" s="15" t="n">
        <f aca="false">SUM(F28:K28)</f>
        <v>3</v>
      </c>
      <c r="M28" s="21" t="s">
        <v>36</v>
      </c>
    </row>
    <row r="29" customFormat="false" ht="14.25" hidden="false" customHeight="false" outlineLevel="0" collapsed="false"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3"/>
      <c r="M29" s="22"/>
    </row>
    <row r="30" customFormat="false" ht="14.25" hidden="false" customHeight="false" outlineLevel="0" collapsed="false"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3"/>
      <c r="M30" s="22"/>
    </row>
    <row r="31" customFormat="false" ht="14.25" hidden="false" customHeight="false" outlineLevel="0" collapsed="false"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3"/>
      <c r="M31" s="22"/>
    </row>
    <row r="32" customFormat="false" ht="14.25" hidden="false" customHeight="false" outlineLevel="0" collapsed="false"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3"/>
      <c r="M32" s="22"/>
    </row>
    <row r="33" customFormat="false" ht="14.25" hidden="false" customHeight="false" outlineLevel="0" collapsed="false"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3"/>
      <c r="M33" s="22"/>
    </row>
    <row r="34" customFormat="false" ht="14.25" hidden="false" customHeight="false" outlineLevel="0" collapsed="false"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3"/>
      <c r="M34" s="22"/>
    </row>
    <row r="35" customFormat="false" ht="14.25" hidden="false" customHeight="false" outlineLevel="0" collapsed="false"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3"/>
      <c r="M35" s="22"/>
    </row>
    <row r="36" customFormat="false" ht="14.25" hidden="false" customHeight="false" outlineLevel="0" collapsed="false"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3"/>
      <c r="M36" s="22"/>
    </row>
    <row r="37" customFormat="false" ht="14.25" hidden="false" customHeight="false" outlineLevel="0" collapsed="false"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3"/>
      <c r="M37" s="22"/>
    </row>
    <row r="38" customFormat="false" ht="14.25" hidden="false" customHeight="false" outlineLevel="0" collapsed="false"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3"/>
      <c r="M38" s="22"/>
    </row>
    <row r="39" customFormat="false" ht="14.25" hidden="false" customHeight="false" outlineLevel="0" collapsed="false"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3"/>
      <c r="M39" s="22"/>
    </row>
    <row r="40" customFormat="false" ht="14.25" hidden="false" customHeight="false" outlineLevel="0" collapsed="false"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3"/>
      <c r="M40" s="22"/>
    </row>
    <row r="41" customFormat="false" ht="14.25" hidden="false" customHeight="false" outlineLevel="0" collapsed="false"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3"/>
      <c r="M41" s="22"/>
    </row>
    <row r="42" customFormat="false" ht="14.25" hidden="false" customHeight="false" outlineLevel="0" collapsed="false"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3"/>
      <c r="M42" s="22"/>
    </row>
    <row r="43" customFormat="false" ht="14.25" hidden="false" customHeight="false" outlineLevel="0" collapsed="false"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3"/>
      <c r="M43" s="22"/>
    </row>
    <row r="44" customFormat="false" ht="14.25" hidden="false" customHeight="false" outlineLevel="0" collapsed="false"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3"/>
      <c r="M44" s="22"/>
    </row>
    <row r="45" customFormat="false" ht="14.25" hidden="false" customHeight="false" outlineLevel="0" collapsed="false"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3"/>
      <c r="M45" s="22"/>
    </row>
    <row r="46" customFormat="false" ht="14.25" hidden="false" customHeight="false" outlineLevel="0" collapsed="false"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3"/>
      <c r="M46" s="22"/>
    </row>
    <row r="47" customFormat="false" ht="14.25" hidden="false" customHeight="false" outlineLevel="0" collapsed="false"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3"/>
      <c r="M47" s="22"/>
    </row>
    <row r="48" customFormat="false" ht="14.25" hidden="false" customHeight="false" outlineLevel="0" collapsed="false"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3"/>
      <c r="M48" s="22"/>
    </row>
    <row r="49" customFormat="false" ht="14.25" hidden="false" customHeight="false" outlineLevel="0" collapsed="false"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3"/>
      <c r="M49" s="22"/>
    </row>
    <row r="50" customFormat="false" ht="14.25" hidden="false" customHeight="false" outlineLevel="0" collapsed="false"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3"/>
      <c r="M50" s="22"/>
    </row>
    <row r="51" customFormat="false" ht="14.25" hidden="false" customHeight="false" outlineLevel="0" collapsed="false"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3"/>
      <c r="M51" s="22"/>
    </row>
    <row r="52" customFormat="false" ht="14.25" hidden="false" customHeight="false" outlineLevel="0" collapsed="false"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3"/>
      <c r="M52" s="22"/>
    </row>
    <row r="53" customFormat="false" ht="14.25" hidden="false" customHeight="false" outlineLevel="0" collapsed="false"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3"/>
      <c r="M53" s="22"/>
    </row>
    <row r="54" customFormat="false" ht="14.25" hidden="false" customHeight="false" outlineLevel="0" collapsed="false"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3"/>
      <c r="M54" s="22"/>
    </row>
    <row r="55" customFormat="false" ht="14.25" hidden="false" customHeight="false" outlineLevel="0" collapsed="false"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3"/>
      <c r="M55" s="22"/>
    </row>
    <row r="56" customFormat="false" ht="14.25" hidden="false" customHeight="false" outlineLevel="0" collapsed="false"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3"/>
      <c r="M56" s="22"/>
    </row>
    <row r="57" customFormat="false" ht="14.25" hidden="false" customHeight="false" outlineLevel="0" collapsed="false"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3"/>
      <c r="M57" s="22"/>
    </row>
    <row r="58" customFormat="false" ht="14.25" hidden="false" customHeight="false" outlineLevel="0" collapsed="false"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3"/>
      <c r="M58" s="22"/>
    </row>
    <row r="59" customFormat="false" ht="14.25" hidden="false" customHeight="false" outlineLevel="0" collapsed="false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3"/>
      <c r="M59" s="22"/>
    </row>
    <row r="60" customFormat="false" ht="14.25" hidden="false" customHeight="false" outlineLevel="0" collapsed="false"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3"/>
      <c r="M60" s="22"/>
    </row>
    <row r="61" customFormat="false" ht="14.25" hidden="false" customHeight="false" outlineLevel="0" collapsed="false"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3"/>
      <c r="M61" s="22"/>
    </row>
    <row r="62" customFormat="false" ht="14.25" hidden="false" customHeight="false" outlineLevel="0" collapsed="false"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3"/>
      <c r="M62" s="22"/>
    </row>
    <row r="63" customFormat="false" ht="14.25" hidden="false" customHeight="false" outlineLevel="0" collapsed="false"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3"/>
      <c r="M63" s="22"/>
    </row>
    <row r="64" customFormat="false" ht="14.25" hidden="false" customHeight="false" outlineLevel="0" collapsed="false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  <c r="M64" s="22"/>
    </row>
    <row r="65" customFormat="false" ht="14.25" hidden="false" customHeight="false" outlineLevel="0" collapsed="false"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3"/>
      <c r="M65" s="22"/>
    </row>
    <row r="66" customFormat="false" ht="14.25" hidden="false" customHeight="false" outlineLevel="0" collapsed="false"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3"/>
      <c r="M66" s="22"/>
    </row>
    <row r="67" customFormat="false" ht="14.25" hidden="false" customHeight="false" outlineLevel="0" collapsed="false"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3"/>
      <c r="M67" s="22"/>
    </row>
    <row r="68" customFormat="false" ht="14.25" hidden="false" customHeight="false" outlineLevel="0" collapsed="false"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3"/>
      <c r="M68" s="22"/>
    </row>
    <row r="69" customFormat="false" ht="14.25" hidden="false" customHeight="false" outlineLevel="0" collapsed="false"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3"/>
      <c r="M69" s="22"/>
    </row>
    <row r="70" customFormat="false" ht="14.25" hidden="false" customHeight="false" outlineLevel="0" collapsed="false"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3"/>
      <c r="M70" s="22"/>
    </row>
    <row r="71" customFormat="false" ht="14.25" hidden="false" customHeight="false" outlineLevel="0" collapsed="false"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3"/>
      <c r="M71" s="22"/>
    </row>
    <row r="72" customFormat="false" ht="14.25" hidden="false" customHeight="false" outlineLevel="0" collapsed="false"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3"/>
      <c r="M72" s="22"/>
    </row>
    <row r="73" customFormat="false" ht="14.25" hidden="false" customHeight="false" outlineLevel="0" collapsed="false"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3"/>
      <c r="M73" s="22"/>
    </row>
    <row r="74" customFormat="false" ht="14.25" hidden="false" customHeight="false" outlineLevel="0" collapsed="false"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3"/>
      <c r="M74" s="22"/>
    </row>
    <row r="75" customFormat="false" ht="14.25" hidden="false" customHeight="false" outlineLevel="0" collapsed="false"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3"/>
      <c r="M75" s="22"/>
    </row>
    <row r="76" customFormat="false" ht="14.25" hidden="false" customHeight="false" outlineLevel="0" collapsed="false"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3"/>
      <c r="M76" s="22"/>
    </row>
    <row r="77" customFormat="false" ht="14.25" hidden="false" customHeight="false" outlineLevel="0" collapsed="false"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3"/>
      <c r="M77" s="22"/>
    </row>
    <row r="78" customFormat="false" ht="14.25" hidden="false" customHeight="false" outlineLevel="0" collapsed="false"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3"/>
      <c r="M78" s="22"/>
    </row>
    <row r="79" customFormat="false" ht="14.25" hidden="false" customHeight="false" outlineLevel="0" collapsed="false"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3"/>
      <c r="M79" s="22"/>
    </row>
    <row r="80" customFormat="false" ht="14.25" hidden="false" customHeight="false" outlineLevel="0" collapsed="false"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3"/>
      <c r="M80" s="22"/>
    </row>
    <row r="81" customFormat="false" ht="14.25" hidden="false" customHeight="false" outlineLevel="0" collapsed="false"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3"/>
      <c r="M81" s="22"/>
    </row>
    <row r="82" customFormat="false" ht="14.25" hidden="false" customHeight="false" outlineLevel="0" collapsed="false"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3"/>
      <c r="M82" s="22"/>
    </row>
    <row r="83" customFormat="false" ht="14.25" hidden="false" customHeight="false" outlineLevel="0" collapsed="false"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3"/>
      <c r="M83" s="22"/>
    </row>
    <row r="84" customFormat="false" ht="14.25" hidden="false" customHeight="false" outlineLevel="0" collapsed="false"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3"/>
      <c r="M84" s="22"/>
    </row>
    <row r="85" customFormat="false" ht="14.25" hidden="false" customHeight="false" outlineLevel="0" collapsed="false"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3"/>
      <c r="M85" s="22"/>
    </row>
    <row r="86" customFormat="false" ht="14.25" hidden="false" customHeight="false" outlineLevel="0" collapsed="false"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3"/>
      <c r="M86" s="22"/>
    </row>
    <row r="87" customFormat="false" ht="14.25" hidden="false" customHeight="false" outlineLevel="0" collapsed="false"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3"/>
      <c r="M87" s="22"/>
    </row>
    <row r="88" customFormat="false" ht="14.25" hidden="false" customHeight="false" outlineLevel="0" collapsed="false"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3"/>
      <c r="M88" s="22"/>
    </row>
    <row r="89" customFormat="false" ht="14.25" hidden="false" customHeight="false" outlineLevel="0" collapsed="false"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3"/>
      <c r="M89" s="22"/>
    </row>
    <row r="90" customFormat="false" ht="14.25" hidden="false" customHeight="false" outlineLevel="0" collapsed="false"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3"/>
      <c r="M90" s="22"/>
    </row>
    <row r="91" customFormat="false" ht="14.25" hidden="false" customHeight="false" outlineLevel="0" collapsed="false"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3"/>
      <c r="M91" s="22"/>
    </row>
    <row r="92" customFormat="false" ht="14.25" hidden="false" customHeight="false" outlineLevel="0" collapsed="false"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3"/>
      <c r="M92" s="22"/>
    </row>
    <row r="93" customFormat="false" ht="14.25" hidden="false" customHeight="false" outlineLevel="0" collapsed="false"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3"/>
      <c r="M93" s="22"/>
    </row>
    <row r="94" customFormat="false" ht="14.25" hidden="false" customHeight="false" outlineLevel="0" collapsed="false"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3"/>
      <c r="M94" s="22"/>
    </row>
    <row r="95" customFormat="false" ht="14.25" hidden="false" customHeight="false" outlineLevel="0" collapsed="false"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3"/>
      <c r="M95" s="22"/>
    </row>
    <row r="96" customFormat="false" ht="14.25" hidden="false" customHeight="false" outlineLevel="0" collapsed="false"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3"/>
      <c r="M96" s="22"/>
    </row>
    <row r="97" customFormat="false" ht="14.25" hidden="false" customHeight="false" outlineLevel="0" collapsed="false"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3"/>
      <c r="M97" s="22"/>
    </row>
    <row r="98" customFormat="false" ht="14.25" hidden="false" customHeight="false" outlineLevel="0" collapsed="false"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3"/>
      <c r="M98" s="22"/>
    </row>
    <row r="99" customFormat="false" ht="14.25" hidden="false" customHeight="false" outlineLevel="0" collapsed="false"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3"/>
      <c r="M99" s="22"/>
    </row>
    <row r="100" customFormat="false" ht="14.25" hidden="false" customHeight="false" outlineLevel="0" collapsed="false"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3"/>
      <c r="M100" s="22"/>
    </row>
    <row r="101" customFormat="false" ht="14.25" hidden="false" customHeight="false" outlineLevel="0" collapsed="false"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3"/>
      <c r="M101" s="22"/>
    </row>
    <row r="102" customFormat="false" ht="14.25" hidden="false" customHeight="false" outlineLevel="0" collapsed="false"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3"/>
      <c r="M102" s="22"/>
    </row>
    <row r="103" customFormat="false" ht="14.25" hidden="false" customHeight="false" outlineLevel="0" collapsed="false"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3"/>
      <c r="M103" s="22"/>
    </row>
    <row r="104" customFormat="false" ht="14.25" hidden="false" customHeight="false" outlineLevel="0" collapsed="false"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3"/>
      <c r="M104" s="22"/>
    </row>
    <row r="105" customFormat="false" ht="14.25" hidden="false" customHeight="false" outlineLevel="0" collapsed="false"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3"/>
      <c r="M105" s="22"/>
    </row>
    <row r="106" customFormat="false" ht="14.25" hidden="false" customHeight="false" outlineLevel="0" collapsed="false"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3"/>
      <c r="M106" s="22"/>
    </row>
    <row r="107" customFormat="false" ht="14.25" hidden="false" customHeight="false" outlineLevel="0" collapsed="false"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3"/>
      <c r="M107" s="22"/>
    </row>
    <row r="108" customFormat="false" ht="14.25" hidden="false" customHeight="false" outlineLevel="0" collapsed="false"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3"/>
      <c r="M108" s="22"/>
    </row>
    <row r="109" customFormat="false" ht="14.25" hidden="false" customHeight="false" outlineLevel="0" collapsed="false"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3"/>
      <c r="M109" s="22"/>
    </row>
    <row r="110" customFormat="false" ht="14.25" hidden="false" customHeight="false" outlineLevel="0" collapsed="false"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3"/>
      <c r="M110" s="22"/>
    </row>
    <row r="111" customFormat="false" ht="14.25" hidden="false" customHeight="false" outlineLevel="0" collapsed="false"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3"/>
      <c r="M111" s="22"/>
    </row>
    <row r="112" customFormat="false" ht="14.25" hidden="false" customHeight="false" outlineLevel="0" collapsed="false"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3"/>
      <c r="M112" s="22"/>
    </row>
    <row r="113" customFormat="false" ht="14.25" hidden="false" customHeight="false" outlineLevel="0" collapsed="false"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3"/>
      <c r="M113" s="22"/>
    </row>
    <row r="114" customFormat="false" ht="14.25" hidden="false" customHeight="false" outlineLevel="0" collapsed="false"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3"/>
      <c r="M114" s="22"/>
    </row>
    <row r="115" customFormat="false" ht="14.25" hidden="false" customHeight="false" outlineLevel="0" collapsed="false"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3"/>
      <c r="M115" s="22"/>
    </row>
    <row r="116" customFormat="false" ht="14.25" hidden="false" customHeight="false" outlineLevel="0" collapsed="false"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3"/>
      <c r="M116" s="22"/>
    </row>
    <row r="117" customFormat="false" ht="14.25" hidden="false" customHeight="false" outlineLevel="0" collapsed="false"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3"/>
      <c r="M117" s="22"/>
    </row>
    <row r="118" customFormat="false" ht="14.25" hidden="false" customHeight="false" outlineLevel="0" collapsed="false"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3"/>
      <c r="M118" s="22"/>
    </row>
    <row r="119" customFormat="false" ht="14.25" hidden="false" customHeight="false" outlineLevel="0" collapsed="false"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3"/>
      <c r="M119" s="22"/>
    </row>
    <row r="120" customFormat="false" ht="14.25" hidden="false" customHeight="false" outlineLevel="0" collapsed="false"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3"/>
      <c r="M120" s="22"/>
    </row>
    <row r="121" customFormat="false" ht="14.25" hidden="false" customHeight="false" outlineLevel="0" collapsed="false"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3"/>
      <c r="M121" s="22"/>
    </row>
    <row r="122" customFormat="false" ht="14.25" hidden="false" customHeight="false" outlineLevel="0" collapsed="false"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3"/>
      <c r="M122" s="22"/>
    </row>
    <row r="123" customFormat="false" ht="14.25" hidden="false" customHeight="false" outlineLevel="0" collapsed="false"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3"/>
      <c r="M123" s="22"/>
    </row>
    <row r="124" customFormat="false" ht="14.25" hidden="false" customHeight="false" outlineLevel="0" collapsed="false"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3"/>
      <c r="M124" s="22"/>
    </row>
    <row r="125" customFormat="false" ht="14.25" hidden="false" customHeight="false" outlineLevel="0" collapsed="false"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3"/>
      <c r="M125" s="22"/>
    </row>
    <row r="126" customFormat="false" ht="14.25" hidden="false" customHeight="false" outlineLevel="0" collapsed="false"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3"/>
      <c r="M126" s="22"/>
    </row>
    <row r="127" customFormat="false" ht="14.25" hidden="false" customHeight="false" outlineLevel="0" collapsed="false"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3"/>
      <c r="M127" s="22"/>
    </row>
    <row r="128" customFormat="false" ht="14.25" hidden="false" customHeight="false" outlineLevel="0" collapsed="false"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3"/>
      <c r="M128" s="22"/>
    </row>
    <row r="129" customFormat="false" ht="14.25" hidden="false" customHeight="false" outlineLevel="0" collapsed="false"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3"/>
      <c r="M129" s="22"/>
    </row>
    <row r="130" customFormat="false" ht="14.25" hidden="false" customHeight="false" outlineLevel="0" collapsed="false"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3"/>
      <c r="M130" s="22"/>
    </row>
    <row r="131" customFormat="false" ht="14.25" hidden="false" customHeight="false" outlineLevel="0" collapsed="false"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3"/>
      <c r="M131" s="22"/>
    </row>
    <row r="132" customFormat="false" ht="14.25" hidden="false" customHeight="false" outlineLevel="0" collapsed="false"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3"/>
      <c r="M132" s="22"/>
    </row>
    <row r="133" customFormat="false" ht="14.25" hidden="false" customHeight="false" outlineLevel="0" collapsed="false"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3"/>
      <c r="M133" s="22"/>
    </row>
    <row r="134" customFormat="false" ht="14.25" hidden="false" customHeight="false" outlineLevel="0" collapsed="false"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3"/>
      <c r="M134" s="22"/>
    </row>
    <row r="135" customFormat="false" ht="14.25" hidden="false" customHeight="false" outlineLevel="0" collapsed="false"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3"/>
      <c r="M135" s="22"/>
    </row>
    <row r="136" customFormat="false" ht="14.25" hidden="false" customHeight="false" outlineLevel="0" collapsed="false"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3"/>
      <c r="M136" s="22"/>
    </row>
    <row r="137" customFormat="false" ht="14.25" hidden="false" customHeight="false" outlineLevel="0" collapsed="false"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3"/>
      <c r="M137" s="22"/>
    </row>
    <row r="138" customFormat="false" ht="14.25" hidden="false" customHeight="false" outlineLevel="0" collapsed="false"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3"/>
      <c r="M138" s="22"/>
    </row>
    <row r="139" customFormat="false" ht="14.25" hidden="false" customHeight="false" outlineLevel="0" collapsed="false"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3"/>
      <c r="M139" s="22"/>
    </row>
    <row r="140" customFormat="false" ht="14.25" hidden="false" customHeight="false" outlineLevel="0" collapsed="false"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3"/>
      <c r="M140" s="22"/>
    </row>
    <row r="141" customFormat="false" ht="14.25" hidden="false" customHeight="false" outlineLevel="0" collapsed="false"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3"/>
      <c r="M141" s="22"/>
    </row>
    <row r="142" customFormat="false" ht="14.25" hidden="false" customHeight="false" outlineLevel="0" collapsed="false"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3"/>
      <c r="M142" s="22"/>
    </row>
    <row r="143" customFormat="false" ht="14.25" hidden="false" customHeight="false" outlineLevel="0" collapsed="false"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3"/>
      <c r="M143" s="22"/>
    </row>
    <row r="144" customFormat="false" ht="14.25" hidden="false" customHeight="false" outlineLevel="0" collapsed="false"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3"/>
      <c r="M144" s="22"/>
    </row>
    <row r="145" customFormat="false" ht="14.25" hidden="false" customHeight="false" outlineLevel="0" collapsed="false"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3"/>
      <c r="M145" s="22"/>
    </row>
    <row r="146" customFormat="false" ht="14.25" hidden="false" customHeight="false" outlineLevel="0" collapsed="false"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3"/>
      <c r="M146" s="22"/>
    </row>
    <row r="147" customFormat="false" ht="14.25" hidden="false" customHeight="false" outlineLevel="0" collapsed="false"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3"/>
      <c r="M147" s="22"/>
    </row>
    <row r="148" customFormat="false" ht="14.25" hidden="false" customHeight="false" outlineLevel="0" collapsed="false"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3"/>
      <c r="M148" s="22"/>
    </row>
    <row r="149" customFormat="false" ht="14.25" hidden="false" customHeight="false" outlineLevel="0" collapsed="false"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3"/>
      <c r="M149" s="22"/>
    </row>
    <row r="150" customFormat="false" ht="14.25" hidden="false" customHeight="false" outlineLevel="0" collapsed="false"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3"/>
      <c r="M150" s="22"/>
    </row>
    <row r="151" customFormat="false" ht="14.25" hidden="false" customHeight="false" outlineLevel="0" collapsed="false"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3"/>
      <c r="M151" s="22"/>
    </row>
    <row r="152" customFormat="false" ht="14.25" hidden="false" customHeight="false" outlineLevel="0" collapsed="false"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3"/>
      <c r="M152" s="22"/>
    </row>
    <row r="153" customFormat="false" ht="14.25" hidden="false" customHeight="false" outlineLevel="0" collapsed="false"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3"/>
      <c r="M153" s="22"/>
    </row>
    <row r="154" customFormat="false" ht="14.25" hidden="false" customHeight="false" outlineLevel="0" collapsed="false"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3"/>
      <c r="M154" s="22"/>
    </row>
    <row r="155" customFormat="false" ht="14.25" hidden="false" customHeight="false" outlineLevel="0" collapsed="false"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3"/>
      <c r="M155" s="22"/>
    </row>
    <row r="156" customFormat="false" ht="14.25" hidden="false" customHeight="false" outlineLevel="0" collapsed="false"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3"/>
      <c r="M156" s="22"/>
    </row>
    <row r="157" customFormat="false" ht="14.25" hidden="false" customHeight="false" outlineLevel="0" collapsed="false"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3"/>
      <c r="M157" s="22"/>
    </row>
    <row r="158" customFormat="false" ht="14.25" hidden="false" customHeight="false" outlineLevel="0" collapsed="false"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3"/>
      <c r="M158" s="22"/>
    </row>
    <row r="159" customFormat="false" ht="14.25" hidden="false" customHeight="false" outlineLevel="0" collapsed="false"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3"/>
      <c r="M159" s="22"/>
    </row>
    <row r="160" customFormat="false" ht="14.25" hidden="false" customHeight="false" outlineLevel="0" collapsed="false"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3"/>
      <c r="M160" s="22"/>
    </row>
    <row r="161" customFormat="false" ht="14.25" hidden="false" customHeight="false" outlineLevel="0" collapsed="false"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3"/>
      <c r="M161" s="22"/>
    </row>
    <row r="162" customFormat="false" ht="14.25" hidden="false" customHeight="false" outlineLevel="0" collapsed="false"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3"/>
      <c r="M162" s="22"/>
    </row>
    <row r="163" customFormat="false" ht="14.25" hidden="false" customHeight="false" outlineLevel="0" collapsed="false"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3"/>
      <c r="M163" s="22"/>
    </row>
    <row r="164" customFormat="false" ht="14.25" hidden="false" customHeight="false" outlineLevel="0" collapsed="false"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3"/>
      <c r="M164" s="22"/>
    </row>
    <row r="165" customFormat="false" ht="14.25" hidden="false" customHeight="false" outlineLevel="0" collapsed="false"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3"/>
      <c r="M165" s="22"/>
    </row>
    <row r="166" customFormat="false" ht="14.25" hidden="false" customHeight="false" outlineLevel="0" collapsed="false"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3"/>
      <c r="M166" s="22"/>
    </row>
    <row r="167" customFormat="false" ht="14.25" hidden="false" customHeight="false" outlineLevel="0" collapsed="false"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3"/>
      <c r="M167" s="22"/>
    </row>
    <row r="168" customFormat="false" ht="14.25" hidden="false" customHeight="false" outlineLevel="0" collapsed="false"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3"/>
      <c r="M168" s="22"/>
    </row>
    <row r="169" customFormat="false" ht="14.25" hidden="false" customHeight="false" outlineLevel="0" collapsed="false"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3"/>
      <c r="M169" s="22"/>
    </row>
    <row r="170" customFormat="false" ht="14.25" hidden="false" customHeight="false" outlineLevel="0" collapsed="false"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3"/>
      <c r="M170" s="22"/>
    </row>
    <row r="171" customFormat="false" ht="14.25" hidden="false" customHeight="false" outlineLevel="0" collapsed="false"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3"/>
      <c r="M171" s="22"/>
    </row>
    <row r="172" customFormat="false" ht="14.25" hidden="false" customHeight="false" outlineLevel="0" collapsed="false"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3"/>
      <c r="M172" s="22"/>
    </row>
    <row r="173" customFormat="false" ht="14.25" hidden="false" customHeight="false" outlineLevel="0" collapsed="false"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3"/>
      <c r="M173" s="22"/>
    </row>
    <row r="174" customFormat="false" ht="14.25" hidden="false" customHeight="false" outlineLevel="0" collapsed="false"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3"/>
      <c r="M174" s="22"/>
    </row>
    <row r="175" customFormat="false" ht="14.25" hidden="false" customHeight="false" outlineLevel="0" collapsed="false"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3"/>
      <c r="M175" s="22"/>
    </row>
    <row r="176" customFormat="false" ht="14.25" hidden="false" customHeight="false" outlineLevel="0" collapsed="false"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3"/>
      <c r="M176" s="22"/>
    </row>
    <row r="177" customFormat="false" ht="14.25" hidden="false" customHeight="false" outlineLevel="0" collapsed="false"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3"/>
      <c r="M177" s="22"/>
    </row>
    <row r="178" customFormat="false" ht="14.25" hidden="false" customHeight="false" outlineLevel="0" collapsed="false"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3"/>
      <c r="M178" s="22"/>
    </row>
    <row r="179" customFormat="false" ht="14.25" hidden="false" customHeight="false" outlineLevel="0" collapsed="false"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3"/>
      <c r="M179" s="22"/>
    </row>
    <row r="180" customFormat="false" ht="14.25" hidden="false" customHeight="false" outlineLevel="0" collapsed="false"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3"/>
      <c r="M180" s="22"/>
    </row>
    <row r="181" customFormat="false" ht="14.25" hidden="false" customHeight="false" outlineLevel="0" collapsed="false"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3"/>
      <c r="M181" s="22"/>
    </row>
    <row r="182" customFormat="false" ht="14.25" hidden="false" customHeight="false" outlineLevel="0" collapsed="false"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3"/>
      <c r="M182" s="22"/>
    </row>
    <row r="183" customFormat="false" ht="14.25" hidden="false" customHeight="false" outlineLevel="0" collapsed="false"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3"/>
      <c r="M183" s="22"/>
    </row>
    <row r="184" customFormat="false" ht="14.25" hidden="false" customHeight="false" outlineLevel="0" collapsed="false"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3"/>
      <c r="M184" s="22"/>
    </row>
    <row r="185" customFormat="false" ht="14.25" hidden="false" customHeight="false" outlineLevel="0" collapsed="false"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3"/>
      <c r="M185" s="22"/>
    </row>
    <row r="186" customFormat="false" ht="14.25" hidden="false" customHeight="false" outlineLevel="0" collapsed="false"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3"/>
      <c r="M186" s="22"/>
    </row>
    <row r="187" customFormat="false" ht="14.25" hidden="false" customHeight="false" outlineLevel="0" collapsed="false"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3"/>
      <c r="M187" s="22"/>
    </row>
    <row r="188" customFormat="false" ht="14.25" hidden="false" customHeight="false" outlineLevel="0" collapsed="false"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3"/>
      <c r="M188" s="22"/>
    </row>
    <row r="189" customFormat="false" ht="14.25" hidden="false" customHeight="false" outlineLevel="0" collapsed="false"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3"/>
      <c r="M189" s="22"/>
    </row>
    <row r="190" customFormat="false" ht="14.25" hidden="false" customHeight="false" outlineLevel="0" collapsed="false"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3"/>
      <c r="M190" s="22"/>
    </row>
    <row r="191" customFormat="false" ht="14.25" hidden="false" customHeight="false" outlineLevel="0" collapsed="false"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3"/>
      <c r="M191" s="22"/>
    </row>
    <row r="192" customFormat="false" ht="14.25" hidden="false" customHeight="false" outlineLevel="0" collapsed="false"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3"/>
      <c r="M192" s="22"/>
    </row>
    <row r="193" customFormat="false" ht="14.25" hidden="false" customHeight="false" outlineLevel="0" collapsed="false"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3"/>
      <c r="M193" s="22"/>
    </row>
    <row r="194" customFormat="false" ht="14.25" hidden="false" customHeight="false" outlineLevel="0" collapsed="false"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3"/>
      <c r="M194" s="22"/>
    </row>
    <row r="195" customFormat="false" ht="14.25" hidden="false" customHeight="false" outlineLevel="0" collapsed="false"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3"/>
      <c r="M195" s="22"/>
    </row>
    <row r="196" customFormat="false" ht="14.25" hidden="false" customHeight="false" outlineLevel="0" collapsed="false"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3"/>
      <c r="M196" s="22"/>
    </row>
    <row r="197" customFormat="false" ht="14.25" hidden="false" customHeight="false" outlineLevel="0" collapsed="false"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3"/>
      <c r="M197" s="22"/>
    </row>
    <row r="198" customFormat="false" ht="14.25" hidden="false" customHeight="false" outlineLevel="0" collapsed="false"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3"/>
      <c r="M198" s="22"/>
    </row>
    <row r="199" customFormat="false" ht="14.25" hidden="false" customHeight="false" outlineLevel="0" collapsed="false"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3"/>
      <c r="M199" s="22"/>
    </row>
    <row r="200" customFormat="false" ht="14.25" hidden="false" customHeight="false" outlineLevel="0" collapsed="false"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3"/>
      <c r="M200" s="22"/>
    </row>
  </sheetData>
  <sheetProtection sheet="true"/>
  <mergeCells count="2">
    <mergeCell ref="B5:M5"/>
    <mergeCell ref="B6:M6"/>
  </mergeCells>
  <conditionalFormatting sqref="B5:M5">
    <cfRule type="expression" priority="2" aboveAverage="0" equalAverage="0" bottom="0" percent="0" rank="0" text="" dxfId="8">
      <formula>ISNUMBER(SEARCH("❌",B5))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30"/>
    <col collapsed="false" customWidth="true" hidden="false" outlineLevel="0" max="3" min="3" style="0" width="32"/>
    <col collapsed="false" customWidth="true" hidden="false" outlineLevel="0" max="4" min="4" style="0" width="45"/>
  </cols>
  <sheetData>
    <row r="1" customFormat="false" ht="15.75" hidden="false" customHeight="true" outlineLevel="0" collapsed="false">
      <c r="A1" s="24" t="s">
        <v>63</v>
      </c>
      <c r="B1" s="24" t="s">
        <v>64</v>
      </c>
      <c r="C1" s="25" t="s">
        <v>65</v>
      </c>
      <c r="D1" s="24" t="s">
        <v>66</v>
      </c>
    </row>
    <row r="2" customFormat="false" ht="15" hidden="false" customHeight="true" outlineLevel="0" collapsed="false">
      <c r="A2" s="7" t="s">
        <v>34</v>
      </c>
      <c r="B2" s="7" t="s">
        <v>67</v>
      </c>
      <c r="C2" s="6" t="s">
        <v>21</v>
      </c>
      <c r="D2" s="26" t="s">
        <v>68</v>
      </c>
    </row>
    <row r="3" customFormat="false" ht="14.25" hidden="false" customHeight="false" outlineLevel="0" collapsed="false">
      <c r="A3" s="7" t="s">
        <v>46</v>
      </c>
      <c r="B3" s="7" t="s">
        <v>69</v>
      </c>
      <c r="C3" s="6" t="s">
        <v>22</v>
      </c>
    </row>
    <row r="4" customFormat="false" ht="14.25" hidden="false" customHeight="false" outlineLevel="0" collapsed="false">
      <c r="A4" s="7" t="s">
        <v>70</v>
      </c>
      <c r="B4" s="7" t="s">
        <v>71</v>
      </c>
      <c r="C4" s="6" t="s">
        <v>23</v>
      </c>
    </row>
    <row r="5" customFormat="false" ht="14.25" hidden="false" customHeight="false" outlineLevel="0" collapsed="false">
      <c r="A5" s="7" t="s">
        <v>72</v>
      </c>
      <c r="C5" s="6" t="s">
        <v>24</v>
      </c>
    </row>
    <row r="6" customFormat="false" ht="14.25" hidden="false" customHeight="false" outlineLevel="0" collapsed="false">
      <c r="A6" s="7" t="s">
        <v>73</v>
      </c>
      <c r="C6" s="6" t="s">
        <v>25</v>
      </c>
    </row>
    <row r="7" customFormat="false" ht="14.25" hidden="false" customHeight="false" outlineLevel="0" collapsed="false">
      <c r="A7" s="7" t="s">
        <v>74</v>
      </c>
      <c r="C7" s="6" t="s">
        <v>26</v>
      </c>
    </row>
    <row r="8" customFormat="false" ht="14.25" hidden="false" customHeight="false" outlineLevel="0" collapsed="false">
      <c r="A8" s="7" t="s">
        <v>52</v>
      </c>
      <c r="C8" s="6" t="s">
        <v>27</v>
      </c>
    </row>
    <row r="9" customFormat="false" ht="14.25" hidden="false" customHeight="false" outlineLevel="0" collapsed="false">
      <c r="A9" s="7" t="s">
        <v>58</v>
      </c>
      <c r="C9" s="6" t="s">
        <v>28</v>
      </c>
    </row>
    <row r="10" customFormat="false" ht="14.25" hidden="false" customHeight="false" outlineLevel="0" collapsed="false">
      <c r="A10" s="7" t="s">
        <v>75</v>
      </c>
      <c r="C10" s="6" t="s">
        <v>29</v>
      </c>
    </row>
    <row r="11" customFormat="false" ht="14.25" hidden="false" customHeight="false" outlineLevel="0" collapsed="false">
      <c r="A11" s="7" t="s">
        <v>76</v>
      </c>
      <c r="C11" s="6" t="s">
        <v>30</v>
      </c>
    </row>
    <row r="12" customFormat="false" ht="14.25" hidden="false" customHeight="false" outlineLevel="0" collapsed="false">
      <c r="A12" s="7" t="s">
        <v>77</v>
      </c>
      <c r="C12" s="6" t="s">
        <v>31</v>
      </c>
    </row>
    <row r="13" customFormat="false" ht="14.25" hidden="false" customHeight="false" outlineLevel="0" collapsed="false">
      <c r="C13" s="6" t="s">
        <v>32</v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2026-10-08T19:24:16Z</dcterms:created>
  <dc:creator>openpyxl</dc:creator>
  <dc:description/>
  <dc:language>en-US</dc:language>
  <cp:lastModifiedBy>Antonio Gutierrez</cp:lastModifiedBy>
  <dcterms:modified xsi:type="dcterms:W3CDTF">2026-10-08T21:30:50Z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
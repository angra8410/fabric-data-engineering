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Housing_AMI_Master" sheetId="2" state="visible" r:id="rId2"/>
    <sheet name="Ref_Looku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F2942"/>
      <sz val="15"/>
    </font>
    <font>
      <name val="Segoe UI"/>
      <color rgb="00475569"/>
      <sz val="10.5"/>
    </font>
    <font>
      <name val="Segoe UI"/>
      <i val="1"/>
      <color rgb="0064748B"/>
      <sz val="9"/>
    </font>
    <font>
      <name val="Segoe UI"/>
      <b val="1"/>
      <color rgb="000F2942"/>
      <sz val="11"/>
    </font>
    <font>
      <name val="Segoe UI"/>
      <b val="1"/>
      <color rgb="000F172A"/>
      <sz val="9.5"/>
    </font>
    <font>
      <name val="Segoe UI"/>
      <color rgb="000F172A"/>
      <sz val="9.5"/>
    </font>
    <font>
      <name val="Segoe UI"/>
      <b val="1"/>
      <color rgb="00FFFFFF"/>
      <sz val="10"/>
    </font>
    <font>
      <name val="Segoe UI"/>
      <b val="1"/>
      <color rgb="00166534"/>
      <sz val="10.5"/>
    </font>
    <font>
      <name val="Segoe UI"/>
      <b val="1"/>
      <color rgb="001E40AF"/>
      <sz val="9.5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1E40AF"/>
        <bgColor rgb="001E40AF"/>
      </patternFill>
    </fill>
    <fill>
      <patternFill patternType="solid">
        <fgColor rgb="000F2942"/>
        <bgColor rgb="000F2942"/>
      </patternFill>
    </fill>
    <fill>
      <patternFill patternType="solid">
        <fgColor rgb="00DCFCE7"/>
        <bgColor rgb="00DCFCE7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6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9" fillId="7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3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2" customWidth="1" min="3" max="3"/>
    <col width="75" customWidth="1" min="4" max="4"/>
  </cols>
  <sheetData>
    <row r="2">
      <c r="B2" s="1" t="inlineStr">
        <is>
          <t>SCOG Housing Affordability by AMI Intake</t>
        </is>
      </c>
    </row>
    <row r="3">
      <c r="B3" s="2" t="inlineStr">
        <is>
          <t>Housing Unit Production Categorized by Area Median Income (AMI) Tiers (GMA Compliance)</t>
        </is>
      </c>
    </row>
    <row r="4">
      <c r="B4" s="3" t="inlineStr">
        <is>
          <t>Official Skagit Council of Governments (SCOG) Standard Data Template</t>
        </is>
      </c>
    </row>
    <row r="6">
      <c r="B6" s="4" t="inlineStr">
        <is>
          <t>Standard Operating Procedure (SOP) for Annual Updates</t>
        </is>
      </c>
    </row>
    <row r="7" ht="28" customHeight="1">
      <c r="B7" s="5" t="inlineStr">
        <is>
          <t>Step 1</t>
        </is>
      </c>
      <c r="C7" s="6" t="inlineStr">
        <is>
          <t>Receive Jurisdiction AMI Data</t>
        </is>
      </c>
      <c r="D7" s="7" t="inlineStr">
        <is>
          <t>Each year, local jurisdictions and Skagit County Public Health classify newly permitted units into Area Median Income (AMI) affordability tiers.</t>
        </is>
      </c>
      <c r="E7" s="8" t="n"/>
      <c r="F7" s="8" t="n"/>
      <c r="G7" s="8" t="n"/>
      <c r="H7" s="9" t="n"/>
    </row>
    <row r="8" ht="28" customHeight="1">
      <c r="B8" s="5" t="inlineStr">
        <is>
          <t>Step 2</t>
        </is>
      </c>
      <c r="C8" s="6" t="inlineStr">
        <is>
          <t>Confirm Schema Validation</t>
        </is>
      </c>
      <c r="D8" s="7" t="inlineStr">
        <is>
          <t>Ensure Cell B5 confirms official schema match before saving.</t>
        </is>
      </c>
      <c r="E8" s="8" t="n"/>
      <c r="F8" s="8" t="n"/>
      <c r="G8" s="8" t="n"/>
      <c r="H8" s="9" t="n"/>
    </row>
    <row r="9" ht="28" customHeight="1">
      <c r="B9" s="5" t="inlineStr">
        <is>
          <t>Step 3</t>
        </is>
      </c>
      <c r="C9" s="6" t="inlineStr">
        <is>
          <t>Input Housing Structure Units</t>
        </is>
      </c>
      <c r="D9" s="7" t="inlineStr">
        <is>
          <t>Enter net units into 1-unit, 2-unit, 3-4 unit, and 5+ unit rows across AMI tiers.</t>
        </is>
      </c>
      <c r="E9" s="8" t="n"/>
      <c r="F9" s="8" t="n"/>
      <c r="G9" s="8" t="n"/>
      <c r="H9" s="9" t="n"/>
    </row>
    <row r="10" ht="28" customHeight="1">
      <c r="B10" s="5" t="inlineStr">
        <is>
          <t>Step 4</t>
        </is>
      </c>
      <c r="C10" s="6" t="inlineStr">
        <is>
          <t>Reconcile with OFM Totals</t>
        </is>
      </c>
      <c r="D10" s="7" t="inlineStr">
        <is>
          <t>Column L (Total Permitted Units) computes the row sum. Reconcile this sum against total permits in Template_Housing_Permits_Master.</t>
        </is>
      </c>
      <c r="E10" s="8" t="n"/>
      <c r="F10" s="8" t="n"/>
      <c r="G10" s="8" t="n"/>
      <c r="H10" s="9" t="n"/>
    </row>
    <row r="11" ht="28" customHeight="1">
      <c r="B11" s="5" t="inlineStr">
        <is>
          <t>Step 5</t>
        </is>
      </c>
      <c r="C11" s="6" t="inlineStr">
        <is>
          <t>Publish to SharePoint</t>
        </is>
      </c>
      <c r="D11" s="7" t="inlineStr">
        <is>
          <t>Save workbook to SharePoint repository.</t>
        </is>
      </c>
      <c r="E11" s="8" t="n"/>
      <c r="F11" s="8" t="n"/>
      <c r="G11" s="8" t="n"/>
      <c r="H11" s="9" t="n"/>
    </row>
  </sheetData>
  <mergeCells count="6">
    <mergeCell ref="D7:H7"/>
    <mergeCell ref="D8:H8"/>
    <mergeCell ref="D10:H10"/>
    <mergeCell ref="D11:H11"/>
    <mergeCell ref="B6:H6"/>
    <mergeCell ref="D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5" customWidth="1" min="3" max="3"/>
    <col width="28" customWidth="1" min="4" max="4"/>
    <col width="28" customWidth="1" min="5" max="5"/>
    <col width="22" customWidth="1" min="6" max="6"/>
    <col width="22" customWidth="1" min="7" max="7"/>
    <col width="22" customWidth="1" min="8" max="8"/>
    <col width="24" customWidth="1" min="9" max="9"/>
    <col width="24" customWidth="1" min="10" max="10"/>
    <col width="26" customWidth="1" min="11" max="11"/>
    <col width="22" customWidth="1" min="12" max="12"/>
    <col width="22" customWidth="1" min="13" max="13"/>
  </cols>
  <sheetData>
    <row r="2">
      <c r="B2" s="1" t="inlineStr">
        <is>
          <t>SCOG Annual Growth Monitoring Report — Master Housing Affordability (AMI)</t>
        </is>
      </c>
    </row>
    <row r="3">
      <c r="B3" s="2" t="inlineStr">
        <is>
          <t>Housing Unit Distribution Across Area Median Income (AMI) Brackets by Jurisdiction</t>
        </is>
      </c>
    </row>
    <row r="5">
      <c r="B5" s="10">
        <f>IF(_xlfn.TEXTJOIN("|",TRUE,B8:M8)=Ref_Lookup!$D$2,"✔ SCHEMA VALID: Columns Match Official Specification","❌ SCHEMA ERROR: Column headers altered!")</f>
        <v/>
      </c>
      <c r="F5" s="10">
        <f>IF(SUM(L9:L35)&gt;0,"✔ INTEGRITY CHECK: AMI Units Reconciled","⚠ INTEGRITY WARNING: Unit totals missing! Input units across AMI tiers.")</f>
        <v/>
      </c>
    </row>
    <row r="8" ht="28" customHeight="1">
      <c r="B8" s="11" t="inlineStr">
        <is>
          <t>Record_ID</t>
        </is>
      </c>
      <c r="C8" s="11" t="inlineStr">
        <is>
          <t>Reporting_Year</t>
        </is>
      </c>
      <c r="D8" s="11" t="inlineStr">
        <is>
          <t>Jurisdiction</t>
        </is>
      </c>
      <c r="E8" s="11" t="inlineStr">
        <is>
          <t>Structure_Type</t>
        </is>
      </c>
      <c r="F8" s="11" t="inlineStr">
        <is>
          <t>AMI_0_to_30_Pct_Units</t>
        </is>
      </c>
      <c r="G8" s="11" t="inlineStr">
        <is>
          <t>AMI_31_to_50_Pct_Units</t>
        </is>
      </c>
      <c r="H8" s="11" t="inlineStr">
        <is>
          <t>AMI_51_to_80_Pct_Units</t>
        </is>
      </c>
      <c r="I8" s="11" t="inlineStr">
        <is>
          <t>AMI_81_to_100_Pct_Units</t>
        </is>
      </c>
      <c r="J8" s="11" t="inlineStr">
        <is>
          <t>AMI_101_to_120_Pct_Units</t>
        </is>
      </c>
      <c r="K8" s="11" t="inlineStr">
        <is>
          <t>AMI_Greater_120_Pct_Units</t>
        </is>
      </c>
      <c r="L8" s="11" t="inlineStr">
        <is>
          <t>Total_Units_Row_Sum</t>
        </is>
      </c>
      <c r="M8" s="11" t="inlineStr">
        <is>
          <t>Reconciliation_Status</t>
        </is>
      </c>
    </row>
    <row r="9" ht="21" customHeight="1">
      <c r="B9" s="12" t="inlineStr">
        <is>
          <t>AMI-2025-001</t>
        </is>
      </c>
      <c r="C9" s="13" t="n">
        <v>2025</v>
      </c>
      <c r="D9" s="14" t="inlineStr">
        <is>
          <t>Anacortes</t>
        </is>
      </c>
      <c r="E9" s="14" t="inlineStr">
        <is>
          <t>1-unit (Single Family)</t>
        </is>
      </c>
      <c r="F9" s="15" t="n">
        <v>0</v>
      </c>
      <c r="G9" s="15" t="n">
        <v>0</v>
      </c>
      <c r="H9" s="15" t="n">
        <v>2</v>
      </c>
      <c r="I9" s="15" t="n">
        <v>6</v>
      </c>
      <c r="J9" s="15" t="n">
        <v>12</v>
      </c>
      <c r="K9" s="15" t="n">
        <v>18</v>
      </c>
      <c r="L9" s="16">
        <f>SUM(F9:K9)</f>
        <v/>
      </c>
      <c r="M9" s="17" t="inlineStr">
        <is>
          <t>Reconciled</t>
        </is>
      </c>
    </row>
    <row r="10" ht="21" customHeight="1">
      <c r="B10" s="5" t="inlineStr">
        <is>
          <t>AMI-2025-002</t>
        </is>
      </c>
      <c r="C10" s="18" t="n">
        <v>2025</v>
      </c>
      <c r="D10" s="19" t="inlineStr">
        <is>
          <t>Anacortes</t>
        </is>
      </c>
      <c r="E10" s="19" t="inlineStr">
        <is>
          <t>2-units (Duplex)</t>
        </is>
      </c>
      <c r="F10" s="20" t="n">
        <v>0</v>
      </c>
      <c r="G10" s="20" t="n">
        <v>0</v>
      </c>
      <c r="H10" s="20" t="n">
        <v>1</v>
      </c>
      <c r="I10" s="20" t="n">
        <v>1</v>
      </c>
      <c r="J10" s="20" t="n">
        <v>0</v>
      </c>
      <c r="K10" s="20" t="n">
        <v>0</v>
      </c>
      <c r="L10" s="16">
        <f>SUM(F10:K10)</f>
        <v/>
      </c>
      <c r="M10" s="21" t="inlineStr">
        <is>
          <t>Reconciled</t>
        </is>
      </c>
    </row>
    <row r="11" ht="21" customHeight="1">
      <c r="B11" s="12" t="inlineStr">
        <is>
          <t>AMI-2025-003</t>
        </is>
      </c>
      <c r="C11" s="13" t="n">
        <v>2025</v>
      </c>
      <c r="D11" s="14" t="inlineStr">
        <is>
          <t>Anacortes</t>
        </is>
      </c>
      <c r="E11" s="14" t="inlineStr">
        <is>
          <t>3-4 units (Multi-Family)</t>
        </is>
      </c>
      <c r="F11" s="15" t="n">
        <v>0</v>
      </c>
      <c r="G11" s="15" t="n">
        <v>2</v>
      </c>
      <c r="H11" s="15" t="n">
        <v>3</v>
      </c>
      <c r="I11" s="15" t="n">
        <v>2</v>
      </c>
      <c r="J11" s="15" t="n">
        <v>1</v>
      </c>
      <c r="K11" s="15" t="n">
        <v>0</v>
      </c>
      <c r="L11" s="16">
        <f>SUM(F11:K11)</f>
        <v/>
      </c>
      <c r="M11" s="17" t="inlineStr">
        <is>
          <t>Reconciled</t>
        </is>
      </c>
    </row>
    <row r="12" ht="21" customHeight="1">
      <c r="B12" s="5" t="inlineStr">
        <is>
          <t>AMI-2025-004</t>
        </is>
      </c>
      <c r="C12" s="18" t="n">
        <v>2025</v>
      </c>
      <c r="D12" s="19" t="inlineStr">
        <is>
          <t>Anacortes</t>
        </is>
      </c>
      <c r="E12" s="19" t="inlineStr">
        <is>
          <t>5+ units (Multi-Family)</t>
        </is>
      </c>
      <c r="F12" s="20" t="n">
        <v>8</v>
      </c>
      <c r="G12" s="20" t="n">
        <v>12</v>
      </c>
      <c r="H12" s="20" t="n">
        <v>14</v>
      </c>
      <c r="I12" s="20" t="n">
        <v>4</v>
      </c>
      <c r="J12" s="20" t="n">
        <v>2</v>
      </c>
      <c r="K12" s="20" t="n">
        <v>0</v>
      </c>
      <c r="L12" s="16">
        <f>SUM(F12:K12)</f>
        <v/>
      </c>
      <c r="M12" s="21" t="inlineStr">
        <is>
          <t>Reconciled</t>
        </is>
      </c>
    </row>
    <row r="13" ht="21" customHeight="1">
      <c r="B13" s="12" t="inlineStr">
        <is>
          <t>AMI-2025-005</t>
        </is>
      </c>
      <c r="C13" s="13" t="n">
        <v>2025</v>
      </c>
      <c r="D13" s="14" t="inlineStr">
        <is>
          <t>Anacortes</t>
        </is>
      </c>
      <c r="E13" s="14" t="inlineStr">
        <is>
          <t>ADU (Accessory Dwelling)</t>
        </is>
      </c>
      <c r="F13" s="15" t="n">
        <v>1</v>
      </c>
      <c r="G13" s="15" t="n">
        <v>3</v>
      </c>
      <c r="H13" s="15" t="n">
        <v>4</v>
      </c>
      <c r="I13" s="15" t="n">
        <v>2</v>
      </c>
      <c r="J13" s="15" t="n">
        <v>0</v>
      </c>
      <c r="K13" s="15" t="n">
        <v>0</v>
      </c>
      <c r="L13" s="16">
        <f>SUM(F13:K13)</f>
        <v/>
      </c>
      <c r="M13" s="17" t="inlineStr">
        <is>
          <t>Reconciled</t>
        </is>
      </c>
    </row>
    <row r="14" ht="21" customHeight="1">
      <c r="B14" s="5" t="inlineStr">
        <is>
          <t>AMI-2025-006</t>
        </is>
      </c>
      <c r="C14" s="18" t="n">
        <v>2025</v>
      </c>
      <c r="D14" s="19" t="inlineStr">
        <is>
          <t>Burlington</t>
        </is>
      </c>
      <c r="E14" s="19" t="inlineStr">
        <is>
          <t>1-unit (Single Family)</t>
        </is>
      </c>
      <c r="F14" s="20" t="n">
        <v>0</v>
      </c>
      <c r="G14" s="20" t="n">
        <v>0</v>
      </c>
      <c r="H14" s="20" t="n">
        <v>1</v>
      </c>
      <c r="I14" s="20" t="n">
        <v>4</v>
      </c>
      <c r="J14" s="20" t="n">
        <v>6</v>
      </c>
      <c r="K14" s="20" t="n">
        <v>4</v>
      </c>
      <c r="L14" s="16">
        <f>SUM(F14:K14)</f>
        <v/>
      </c>
      <c r="M14" s="21" t="inlineStr">
        <is>
          <t>Reconciled</t>
        </is>
      </c>
    </row>
    <row r="15" ht="21" customHeight="1">
      <c r="B15" s="12" t="inlineStr">
        <is>
          <t>AMI-2025-007</t>
        </is>
      </c>
      <c r="C15" s="13" t="n">
        <v>2025</v>
      </c>
      <c r="D15" s="14" t="inlineStr">
        <is>
          <t>Burlington</t>
        </is>
      </c>
      <c r="E15" s="14" t="inlineStr">
        <is>
          <t>2-units (Duplex)</t>
        </is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6">
        <f>SUM(F15:K15)</f>
        <v/>
      </c>
      <c r="M15" s="17" t="inlineStr">
        <is>
          <t>Reconciled</t>
        </is>
      </c>
    </row>
    <row r="16" ht="21" customHeight="1">
      <c r="B16" s="5" t="inlineStr">
        <is>
          <t>AMI-2025-008</t>
        </is>
      </c>
      <c r="C16" s="18" t="n">
        <v>2025</v>
      </c>
      <c r="D16" s="19" t="inlineStr">
        <is>
          <t>Burlington</t>
        </is>
      </c>
      <c r="E16" s="19" t="inlineStr">
        <is>
          <t>3-4 units (Multi-Family)</t>
        </is>
      </c>
      <c r="F16" s="20" t="n">
        <v>1</v>
      </c>
      <c r="G16" s="20" t="n">
        <v>1</v>
      </c>
      <c r="H16" s="20" t="n">
        <v>2</v>
      </c>
      <c r="I16" s="20" t="n">
        <v>2</v>
      </c>
      <c r="J16" s="20" t="n">
        <v>0</v>
      </c>
      <c r="K16" s="20" t="n">
        <v>0</v>
      </c>
      <c r="L16" s="16">
        <f>SUM(F16:K16)</f>
        <v/>
      </c>
      <c r="M16" s="21" t="inlineStr">
        <is>
          <t>Reconciled</t>
        </is>
      </c>
    </row>
    <row r="17" ht="21" customHeight="1">
      <c r="B17" s="12" t="inlineStr">
        <is>
          <t>AMI-2025-009</t>
        </is>
      </c>
      <c r="C17" s="13" t="n">
        <v>2025</v>
      </c>
      <c r="D17" s="14" t="inlineStr">
        <is>
          <t>Burlington</t>
        </is>
      </c>
      <c r="E17" s="14" t="inlineStr">
        <is>
          <t>5+ units (Multi-Family)</t>
        </is>
      </c>
      <c r="F17" s="15" t="n">
        <v>12</v>
      </c>
      <c r="G17" s="15" t="n">
        <v>16</v>
      </c>
      <c r="H17" s="15" t="n">
        <v>18</v>
      </c>
      <c r="I17" s="15" t="n">
        <v>4</v>
      </c>
      <c r="J17" s="15" t="n">
        <v>2</v>
      </c>
      <c r="K17" s="15" t="n">
        <v>0</v>
      </c>
      <c r="L17" s="16">
        <f>SUM(F17:K17)</f>
        <v/>
      </c>
      <c r="M17" s="17" t="inlineStr">
        <is>
          <t>Reconciled</t>
        </is>
      </c>
    </row>
    <row r="18" ht="21" customHeight="1">
      <c r="B18" s="5" t="inlineStr">
        <is>
          <t>AMI-2025-010</t>
        </is>
      </c>
      <c r="C18" s="18" t="n">
        <v>2025</v>
      </c>
      <c r="D18" s="19" t="inlineStr">
        <is>
          <t>Burlington</t>
        </is>
      </c>
      <c r="E18" s="19" t="inlineStr">
        <is>
          <t>ADU (Accessory Dwelling)</t>
        </is>
      </c>
      <c r="F18" s="20" t="n">
        <v>1</v>
      </c>
      <c r="G18" s="20" t="n">
        <v>1</v>
      </c>
      <c r="H18" s="20" t="n">
        <v>2</v>
      </c>
      <c r="I18" s="20" t="n">
        <v>1</v>
      </c>
      <c r="J18" s="20" t="n">
        <v>0</v>
      </c>
      <c r="K18" s="20" t="n">
        <v>0</v>
      </c>
      <c r="L18" s="16">
        <f>SUM(F18:K18)</f>
        <v/>
      </c>
      <c r="M18" s="21" t="inlineStr">
        <is>
          <t>Reconciled</t>
        </is>
      </c>
    </row>
    <row r="19" ht="21" customHeight="1">
      <c r="B19" s="12" t="inlineStr">
        <is>
          <t>AMI-2025-011</t>
        </is>
      </c>
      <c r="C19" s="13" t="n">
        <v>2025</v>
      </c>
      <c r="D19" s="14" t="inlineStr">
        <is>
          <t>Mount Vernon</t>
        </is>
      </c>
      <c r="E19" s="14" t="inlineStr">
        <is>
          <t>1-unit (Single Family)</t>
        </is>
      </c>
      <c r="F19" s="15" t="n">
        <v>0</v>
      </c>
      <c r="G19" s="15" t="n">
        <v>0</v>
      </c>
      <c r="H19" s="15" t="n">
        <v>5</v>
      </c>
      <c r="I19" s="15" t="n">
        <v>15</v>
      </c>
      <c r="J19" s="15" t="n">
        <v>25</v>
      </c>
      <c r="K19" s="15" t="n">
        <v>25</v>
      </c>
      <c r="L19" s="16">
        <f>SUM(F19:K19)</f>
        <v/>
      </c>
      <c r="M19" s="17" t="inlineStr">
        <is>
          <t>Reconciled</t>
        </is>
      </c>
    </row>
    <row r="20" ht="21" customHeight="1">
      <c r="B20" s="5" t="inlineStr">
        <is>
          <t>AMI-2025-012</t>
        </is>
      </c>
      <c r="C20" s="18" t="n">
        <v>2025</v>
      </c>
      <c r="D20" s="19" t="inlineStr">
        <is>
          <t>Mount Vernon</t>
        </is>
      </c>
      <c r="E20" s="19" t="inlineStr">
        <is>
          <t>2-units (Duplex)</t>
        </is>
      </c>
      <c r="F20" s="20" t="n">
        <v>0</v>
      </c>
      <c r="G20" s="20" t="n">
        <v>1</v>
      </c>
      <c r="H20" s="20" t="n">
        <v>2</v>
      </c>
      <c r="I20" s="20" t="n">
        <v>2</v>
      </c>
      <c r="J20" s="20" t="n">
        <v>1</v>
      </c>
      <c r="K20" s="20" t="n">
        <v>0</v>
      </c>
      <c r="L20" s="16">
        <f>SUM(F20:K20)</f>
        <v/>
      </c>
      <c r="M20" s="21" t="inlineStr">
        <is>
          <t>Reconciled</t>
        </is>
      </c>
    </row>
    <row r="21" ht="21" customHeight="1">
      <c r="B21" s="12" t="inlineStr">
        <is>
          <t>AMI-2025-013</t>
        </is>
      </c>
      <c r="C21" s="13" t="n">
        <v>2025</v>
      </c>
      <c r="D21" s="14" t="inlineStr">
        <is>
          <t>Mount Vernon</t>
        </is>
      </c>
      <c r="E21" s="14" t="inlineStr">
        <is>
          <t>3-4 units (Multi-Family)</t>
        </is>
      </c>
      <c r="F21" s="15" t="n">
        <v>2</v>
      </c>
      <c r="G21" s="15" t="n">
        <v>4</v>
      </c>
      <c r="H21" s="15" t="n">
        <v>6</v>
      </c>
      <c r="I21" s="15" t="n">
        <v>3</v>
      </c>
      <c r="J21" s="15" t="n">
        <v>1</v>
      </c>
      <c r="K21" s="15" t="n">
        <v>0</v>
      </c>
      <c r="L21" s="16">
        <f>SUM(F21:K21)</f>
        <v/>
      </c>
      <c r="M21" s="17" t="inlineStr">
        <is>
          <t>Reconciled</t>
        </is>
      </c>
    </row>
    <row r="22" ht="21" customHeight="1">
      <c r="B22" s="5" t="inlineStr">
        <is>
          <t>AMI-2025-014</t>
        </is>
      </c>
      <c r="C22" s="18" t="n">
        <v>2025</v>
      </c>
      <c r="D22" s="19" t="inlineStr">
        <is>
          <t>Mount Vernon</t>
        </is>
      </c>
      <c r="E22" s="19" t="inlineStr">
        <is>
          <t>5+ units (Multi-Family)</t>
        </is>
      </c>
      <c r="F22" s="20" t="n">
        <v>18</v>
      </c>
      <c r="G22" s="20" t="n">
        <v>28</v>
      </c>
      <c r="H22" s="20" t="n">
        <v>35</v>
      </c>
      <c r="I22" s="20" t="n">
        <v>10</v>
      </c>
      <c r="J22" s="20" t="n">
        <v>4</v>
      </c>
      <c r="K22" s="20" t="n">
        <v>0</v>
      </c>
      <c r="L22" s="16">
        <f>SUM(F22:K22)</f>
        <v/>
      </c>
      <c r="M22" s="21" t="inlineStr">
        <is>
          <t>Reconciled</t>
        </is>
      </c>
    </row>
    <row r="23" ht="21" customHeight="1">
      <c r="B23" s="12" t="inlineStr">
        <is>
          <t>AMI-2025-015</t>
        </is>
      </c>
      <c r="C23" s="13" t="n">
        <v>2025</v>
      </c>
      <c r="D23" s="14" t="inlineStr">
        <is>
          <t>Mount Vernon</t>
        </is>
      </c>
      <c r="E23" s="14" t="inlineStr">
        <is>
          <t>ADU (Accessory Dwelling)</t>
        </is>
      </c>
      <c r="F23" s="15" t="n">
        <v>2</v>
      </c>
      <c r="G23" s="15" t="n">
        <v>5</v>
      </c>
      <c r="H23" s="15" t="n">
        <v>7</v>
      </c>
      <c r="I23" s="15" t="n">
        <v>3</v>
      </c>
      <c r="J23" s="15" t="n">
        <v>1</v>
      </c>
      <c r="K23" s="15" t="n">
        <v>0</v>
      </c>
      <c r="L23" s="16">
        <f>SUM(F23:K23)</f>
        <v/>
      </c>
      <c r="M23" s="17" t="inlineStr">
        <is>
          <t>Reconciled</t>
        </is>
      </c>
    </row>
    <row r="24" ht="21" customHeight="1">
      <c r="B24" s="5" t="inlineStr">
        <is>
          <t>AMI-2025-016</t>
        </is>
      </c>
      <c r="C24" s="18" t="n">
        <v>2025</v>
      </c>
      <c r="D24" s="19" t="inlineStr">
        <is>
          <t>Sedro-Woolley</t>
        </is>
      </c>
      <c r="E24" s="19" t="inlineStr">
        <is>
          <t>1-unit (Single Family)</t>
        </is>
      </c>
      <c r="F24" s="20" t="n">
        <v>0</v>
      </c>
      <c r="G24" s="20" t="n">
        <v>0</v>
      </c>
      <c r="H24" s="20" t="n">
        <v>4</v>
      </c>
      <c r="I24" s="20" t="n">
        <v>10</v>
      </c>
      <c r="J24" s="20" t="n">
        <v>16</v>
      </c>
      <c r="K24" s="20" t="n">
        <v>10</v>
      </c>
      <c r="L24" s="16">
        <f>SUM(F24:K24)</f>
        <v/>
      </c>
      <c r="M24" s="21" t="inlineStr">
        <is>
          <t>Reconciled</t>
        </is>
      </c>
    </row>
    <row r="25" ht="21" customHeight="1">
      <c r="B25" s="12" t="inlineStr">
        <is>
          <t>AMI-2025-017</t>
        </is>
      </c>
      <c r="C25" s="13" t="n">
        <v>2025</v>
      </c>
      <c r="D25" s="14" t="inlineStr">
        <is>
          <t>Sedro-Woolley</t>
        </is>
      </c>
      <c r="E25" s="14" t="inlineStr">
        <is>
          <t>2-units (Duplex)</t>
        </is>
      </c>
      <c r="F25" s="15" t="n">
        <v>0</v>
      </c>
      <c r="G25" s="15" t="n">
        <v>1</v>
      </c>
      <c r="H25" s="15" t="n">
        <v>1</v>
      </c>
      <c r="I25" s="15" t="n">
        <v>1</v>
      </c>
      <c r="J25" s="15" t="n">
        <v>1</v>
      </c>
      <c r="K25" s="15" t="n">
        <v>0</v>
      </c>
      <c r="L25" s="16">
        <f>SUM(F25:K25)</f>
        <v/>
      </c>
      <c r="M25" s="17" t="inlineStr">
        <is>
          <t>Reconciled</t>
        </is>
      </c>
    </row>
    <row r="26" ht="21" customHeight="1">
      <c r="B26" s="5" t="inlineStr">
        <is>
          <t>AMI-2025-018</t>
        </is>
      </c>
      <c r="C26" s="18" t="n">
        <v>2025</v>
      </c>
      <c r="D26" s="19" t="inlineStr">
        <is>
          <t>Sedro-Woolley</t>
        </is>
      </c>
      <c r="E26" s="19" t="inlineStr">
        <is>
          <t>3-4 units (Multi-Family)</t>
        </is>
      </c>
      <c r="F26" s="20" t="n">
        <v>1</v>
      </c>
      <c r="G26" s="20" t="n">
        <v>3</v>
      </c>
      <c r="H26" s="20" t="n">
        <v>4</v>
      </c>
      <c r="I26" s="20" t="n">
        <v>3</v>
      </c>
      <c r="J26" s="20" t="n">
        <v>1</v>
      </c>
      <c r="K26" s="20" t="n">
        <v>0</v>
      </c>
      <c r="L26" s="16">
        <f>SUM(F26:K26)</f>
        <v/>
      </c>
      <c r="M26" s="21" t="inlineStr">
        <is>
          <t>Reconciled</t>
        </is>
      </c>
    </row>
    <row r="27" ht="21" customHeight="1">
      <c r="B27" s="12" t="inlineStr">
        <is>
          <t>AMI-2025-019</t>
        </is>
      </c>
      <c r="C27" s="13" t="n">
        <v>2025</v>
      </c>
      <c r="D27" s="14" t="inlineStr">
        <is>
          <t>Sedro-Woolley</t>
        </is>
      </c>
      <c r="E27" s="14" t="inlineStr">
        <is>
          <t>5+ units (Multi-Family)</t>
        </is>
      </c>
      <c r="F27" s="15" t="n">
        <v>6</v>
      </c>
      <c r="G27" s="15" t="n">
        <v>10</v>
      </c>
      <c r="H27" s="15" t="n">
        <v>10</v>
      </c>
      <c r="I27" s="15" t="n">
        <v>3</v>
      </c>
      <c r="J27" s="15" t="n">
        <v>1</v>
      </c>
      <c r="K27" s="15" t="n">
        <v>0</v>
      </c>
      <c r="L27" s="16">
        <f>SUM(F27:K27)</f>
        <v/>
      </c>
      <c r="M27" s="17" t="inlineStr">
        <is>
          <t>Reconciled</t>
        </is>
      </c>
    </row>
    <row r="28" ht="21" customHeight="1">
      <c r="B28" s="5" t="inlineStr">
        <is>
          <t>AMI-2025-020</t>
        </is>
      </c>
      <c r="C28" s="18" t="n">
        <v>2025</v>
      </c>
      <c r="D28" s="19" t="inlineStr">
        <is>
          <t>Sedro-Woolley</t>
        </is>
      </c>
      <c r="E28" s="19" t="inlineStr">
        <is>
          <t>ADU (Accessory Dwelling)</t>
        </is>
      </c>
      <c r="F28" s="20" t="n">
        <v>1</v>
      </c>
      <c r="G28" s="20" t="n">
        <v>2</v>
      </c>
      <c r="H28" s="20" t="n">
        <v>3</v>
      </c>
      <c r="I28" s="20" t="n">
        <v>2</v>
      </c>
      <c r="J28" s="20" t="n">
        <v>0</v>
      </c>
      <c r="K28" s="20" t="n">
        <v>0</v>
      </c>
      <c r="L28" s="16">
        <f>SUM(F28:K28)</f>
        <v/>
      </c>
      <c r="M28" s="21" t="inlineStr">
        <is>
          <t>Reconciled</t>
        </is>
      </c>
    </row>
  </sheetData>
  <mergeCells count="2">
    <mergeCell ref="F5:I5"/>
    <mergeCell ref="B5:E5"/>
  </mergeCells>
  <dataValidations count="1">
    <dataValidation sqref="D9:D200" showDropDown="0" showInputMessage="0" showErrorMessage="0" allowBlank="1" type="list">
      <formula1>Ref_Lookup!$A$2:$A$12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32" customWidth="1" min="3" max="3"/>
    <col width="45" customWidth="1" min="4" max="4"/>
  </cols>
  <sheetData>
    <row r="1">
      <c r="A1" s="22" t="inlineStr">
        <is>
          <t>Jurisdiction_Master</t>
        </is>
      </c>
      <c r="B1" s="22" t="inlineStr">
        <is>
          <t>UGA_Classification</t>
        </is>
      </c>
      <c r="C1" s="23" t="inlineStr">
        <is>
          <t>Official_Header_Schema</t>
        </is>
      </c>
      <c r="D1" s="22" t="inlineStr">
        <is>
          <t>Canonical_Signature_Key</t>
        </is>
      </c>
    </row>
    <row r="2">
      <c r="A2" s="7" t="inlineStr">
        <is>
          <t>Anacortes</t>
        </is>
      </c>
      <c r="B2" s="7" t="inlineStr">
        <is>
          <t>Incorporated City/Town</t>
        </is>
      </c>
      <c r="C2" s="6" t="inlineStr">
        <is>
          <t>Record_ID</t>
        </is>
      </c>
      <c r="D2" s="24" t="inlineStr">
        <is>
          <t>Record_ID|Reporting_Year|Jurisdiction|Structure_Type|AMI_0_to_30_Pct_Units|AMI_31_to_50_Pct_Units|AMI_51_to_80_Pct_Units|AMI_81_to_100_Pct_Units|AMI_101_to_120_Pct_Units|AMI_Greater_120_Pct_Units|Total_Units_Row_Sum|Reconciliation_Status</t>
        </is>
      </c>
    </row>
    <row r="3">
      <c r="A3" s="7" t="inlineStr">
        <is>
          <t>Burlington</t>
        </is>
      </c>
      <c r="B3" s="7" t="inlineStr">
        <is>
          <t>Urban Growth Area (UGA)</t>
        </is>
      </c>
      <c r="C3" s="6" t="inlineStr">
        <is>
          <t>Reporting_Year</t>
        </is>
      </c>
    </row>
    <row r="4">
      <c r="A4" s="7" t="inlineStr">
        <is>
          <t>Concrete</t>
        </is>
      </c>
      <c r="B4" s="7" t="inlineStr">
        <is>
          <t>Unincorporated Rural Area</t>
        </is>
      </c>
      <c r="C4" s="6" t="inlineStr">
        <is>
          <t>Jurisdiction</t>
        </is>
      </c>
    </row>
    <row r="5">
      <c r="A5" s="7" t="inlineStr">
        <is>
          <t>Hamilton</t>
        </is>
      </c>
      <c r="C5" s="6" t="inlineStr">
        <is>
          <t>Structure_Type</t>
        </is>
      </c>
    </row>
    <row r="6">
      <c r="A6" s="7" t="inlineStr">
        <is>
          <t>La Conner</t>
        </is>
      </c>
      <c r="C6" s="6" t="inlineStr">
        <is>
          <t>AMI_0_to_30_Pct_Units</t>
        </is>
      </c>
    </row>
    <row r="7">
      <c r="A7" s="7" t="inlineStr">
        <is>
          <t>Lyman</t>
        </is>
      </c>
      <c r="C7" s="6" t="inlineStr">
        <is>
          <t>AMI_31_to_50_Pct_Units</t>
        </is>
      </c>
    </row>
    <row r="8">
      <c r="A8" s="7" t="inlineStr">
        <is>
          <t>Mount Vernon</t>
        </is>
      </c>
      <c r="C8" s="6" t="inlineStr">
        <is>
          <t>AMI_51_to_80_Pct_Units</t>
        </is>
      </c>
    </row>
    <row r="9">
      <c r="A9" s="7" t="inlineStr">
        <is>
          <t>Sedro-Woolley</t>
        </is>
      </c>
      <c r="C9" s="6" t="inlineStr">
        <is>
          <t>AMI_81_to_100_Pct_Units</t>
        </is>
      </c>
    </row>
    <row r="10">
      <c r="A10" s="7" t="inlineStr">
        <is>
          <t>Bay View Ridge UGA</t>
        </is>
      </c>
      <c r="C10" s="6" t="inlineStr">
        <is>
          <t>AMI_101_to_120_Pct_Units</t>
        </is>
      </c>
    </row>
    <row r="11">
      <c r="A11" s="7" t="inlineStr">
        <is>
          <t>Swinomish UGA</t>
        </is>
      </c>
      <c r="C11" s="6" t="inlineStr">
        <is>
          <t>AMI_Greater_120_Pct_Units</t>
        </is>
      </c>
    </row>
    <row r="12">
      <c r="A12" s="7" t="inlineStr">
        <is>
          <t>Unincorporated Skagit County</t>
        </is>
      </c>
      <c r="C12" s="6" t="inlineStr">
        <is>
          <t>Total_Units_Row_Sum</t>
        </is>
      </c>
    </row>
    <row r="13">
      <c r="C13" s="6" t="inlineStr">
        <is>
          <t>Reconciliation_Status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2026-10-08T15:07:06Z</dcterms:created>
  <dcterms:modified xsi:type="dcterms:W3CDTF">2026-10-08T15:07:06Z</dcterms:modified>
</cp:coreProperties>
</file>
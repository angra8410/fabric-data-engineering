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ousing_AMI_Master" sheetId="2" state="visible" r:id="rId2"/>
    <sheet name="Ref_Looku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F2942"/>
      <sz val="15"/>
    </font>
    <font>
      <name val="Segoe UI"/>
      <color rgb="00475569"/>
      <sz val="10.5"/>
    </font>
    <font>
      <name val="Segoe UI"/>
      <i val="1"/>
      <color rgb="0064748B"/>
      <sz val="9"/>
    </font>
    <font>
      <name val="Segoe UI"/>
      <b val="1"/>
      <color rgb="000F2942"/>
      <sz val="11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166534"/>
      <sz val="10.5"/>
    </font>
    <font>
      <name val="Segoe UI"/>
      <b val="1"/>
      <color rgb="001E40AF"/>
      <sz val="9.5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0F2942"/>
        <bgColor rgb="000F2942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6" borderId="1" applyAlignment="1" applyProtection="1" pivotButton="0" quotePrefix="0" xfId="0">
      <alignment horizontal="left" vertical="center" wrapText="1"/>
      <protection locked="1" hidden="1"/>
    </xf>
    <xf numFmtId="0" fontId="8" fillId="6" borderId="1" applyAlignment="1" applyProtection="1" pivotButton="0" quotePrefix="0" xfId="0">
      <alignment horizontal="left" vertical="center"/>
      <protection locked="1" hidden="1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3" fontId="6" fillId="0" borderId="1" applyAlignment="1" applyProtection="1" pivotButton="0" quotePrefix="0" xfId="0">
      <alignment horizontal="right" vertical="center"/>
      <protection locked="0" hidden="0"/>
    </xf>
    <xf numFmtId="3" fontId="9" fillId="7" borderId="1" applyAlignment="1" applyProtection="1" pivotButton="0" quotePrefix="0" xfId="0">
      <alignment horizontal="right" vertical="center"/>
      <protection locked="1" hidden="1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5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left" vertical="center"/>
      <protection locked="0" hidden="0"/>
    </xf>
    <xf numFmtId="3" fontId="6" fillId="3" borderId="1" applyAlignment="1" applyProtection="1" pivotButton="0" quotePrefix="0" xfId="0">
      <alignment horizontal="right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dxfs count="1">
    <dxf>
      <font>
        <name val="Segoe UI"/>
        <b val="1"/>
        <color rgb="00991B1B"/>
        <sz val="10.5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75" customWidth="1" min="4" max="4"/>
  </cols>
  <sheetData>
    <row r="2">
      <c r="B2" s="1" t="inlineStr">
        <is>
          <t>SCOG Housing Affordability by AMI Intake</t>
        </is>
      </c>
    </row>
    <row r="3">
      <c r="B3" s="2" t="inlineStr">
        <is>
          <t>Housing Unit Production Categorized by Area Median Income (AMI) Tiers (GMA Compliance)</t>
        </is>
      </c>
    </row>
    <row r="4">
      <c r="B4" s="3" t="inlineStr">
        <is>
          <t>Official Skagit Council of Governments (SCOG) Standard Data Template</t>
        </is>
      </c>
    </row>
    <row r="6">
      <c r="B6" s="4" t="inlineStr">
        <is>
          <t>Standard Operating Procedure (SOP) for Annual Updates</t>
        </is>
      </c>
    </row>
    <row r="7" ht="28" customHeight="1">
      <c r="B7" s="5" t="inlineStr">
        <is>
          <t>Step 1</t>
        </is>
      </c>
      <c r="C7" s="6" t="inlineStr">
        <is>
          <t>Receive Jurisdiction AMI Data</t>
        </is>
      </c>
      <c r="D7" s="7" t="inlineStr">
        <is>
          <t>Each year, local jurisdictions and Skagit County Public Health classify newly permitted units into Area Median Income (AMI) affordability tiers.</t>
        </is>
      </c>
      <c r="E7" s="8" t="n"/>
      <c r="F7" s="8" t="n"/>
      <c r="G7" s="8" t="n"/>
      <c r="H7" s="9" t="n"/>
    </row>
    <row r="8" ht="28" customHeight="1">
      <c r="B8" s="5" t="inlineStr">
        <is>
          <t>Step 2</t>
        </is>
      </c>
      <c r="C8" s="6" t="inlineStr">
        <is>
          <t>Confirm Schema Validation</t>
        </is>
      </c>
      <c r="D8" s="7" t="inlineStr">
        <is>
          <t>Ensure Cell B5 confirms official schema match before saving.</t>
        </is>
      </c>
      <c r="E8" s="8" t="n"/>
      <c r="F8" s="8" t="n"/>
      <c r="G8" s="8" t="n"/>
      <c r="H8" s="9" t="n"/>
    </row>
    <row r="9" ht="28" customHeight="1">
      <c r="B9" s="5" t="inlineStr">
        <is>
          <t>Step 3</t>
        </is>
      </c>
      <c r="C9" s="6" t="inlineStr">
        <is>
          <t>Input Housing Structure Units</t>
        </is>
      </c>
      <c r="D9" s="7" t="inlineStr">
        <is>
          <t>Enter net units into 1-unit, 2-unit, 3-4 unit, and 5+ unit rows across AMI tiers.</t>
        </is>
      </c>
      <c r="E9" s="8" t="n"/>
      <c r="F9" s="8" t="n"/>
      <c r="G9" s="8" t="n"/>
      <c r="H9" s="9" t="n"/>
    </row>
    <row r="10" ht="28" customHeight="1">
      <c r="B10" s="5" t="inlineStr">
        <is>
          <t>Step 4</t>
        </is>
      </c>
      <c r="C10" s="6" t="inlineStr">
        <is>
          <t>Reconcile with OFM Totals</t>
        </is>
      </c>
      <c r="D10" s="7" t="inlineStr">
        <is>
          <t>Column L (Total Permitted Units) computes the row sum. Reconcile this sum against total permits in Template_Housing_Permits_Master.</t>
        </is>
      </c>
      <c r="E10" s="8" t="n"/>
      <c r="F10" s="8" t="n"/>
      <c r="G10" s="8" t="n"/>
      <c r="H10" s="9" t="n"/>
    </row>
    <row r="11" ht="28" customHeight="1">
      <c r="B11" s="5" t="inlineStr">
        <is>
          <t>Step 5</t>
        </is>
      </c>
      <c r="C11" s="6" t="inlineStr">
        <is>
          <t>Publish to SharePoint</t>
        </is>
      </c>
      <c r="D11" s="7" t="inlineStr">
        <is>
          <t>Save workbook to SharePoint repository.</t>
        </is>
      </c>
      <c r="E11" s="8" t="n"/>
      <c r="F11" s="8" t="n"/>
      <c r="G11" s="8" t="n"/>
      <c r="H11" s="9" t="n"/>
    </row>
  </sheetData>
  <mergeCells count="6">
    <mergeCell ref="D7:H7"/>
    <mergeCell ref="D8:H8"/>
    <mergeCell ref="D10:H10"/>
    <mergeCell ref="D11:H11"/>
    <mergeCell ref="B6:H6"/>
    <mergeCell ref="D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0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5" customWidth="1" min="3" max="3"/>
    <col width="28" customWidth="1" min="4" max="4"/>
    <col width="28" customWidth="1" min="5" max="5"/>
    <col width="22" customWidth="1" min="6" max="6"/>
    <col width="22" customWidth="1" min="7" max="7"/>
    <col width="22" customWidth="1" min="8" max="8"/>
    <col width="24" customWidth="1" min="9" max="9"/>
    <col width="24" customWidth="1" min="10" max="10"/>
    <col width="26" customWidth="1" min="11" max="11"/>
    <col width="22" customWidth="1" min="12" max="12"/>
    <col width="22" customWidth="1" min="13" max="13"/>
  </cols>
  <sheetData>
    <row r="2">
      <c r="B2" s="1" t="inlineStr">
        <is>
          <t>SCOG Annual Growth Monitoring Report — Master Housing Affordability (AMI)</t>
        </is>
      </c>
    </row>
    <row r="3">
      <c r="B3" s="2" t="inlineStr">
        <is>
          <t>Housing Unit Distribution Across Area Median Income (AMI) Brackets by Jurisdiction</t>
        </is>
      </c>
    </row>
    <row r="5" ht="38" customHeight="1">
      <c r="B5" s="10">
        <f>IF(_xlfn.TEXTJOIN("|",TRUE,B8:M8)=Ref_Lookup!$D$2, "✔ SCHEMA VALID: Columns Match Official Specification", "❌ SCHEMA ERROR: Column(s) altered: " &amp; _xlfn.TEXTJOIN(", ", TRUE, IF(ISBLANK(B8), "'" &amp; Ref_Lookup!$C$2 &amp; "' [blank]", IF(B8&lt;&gt;Ref_Lookup!$C$2, "'" &amp; Ref_Lookup!$C$2 &amp; "' [found: '" &amp; B8 &amp; "']", "")), IF(ISBLANK(C8), "'" &amp; Ref_Lookup!$C$3 &amp; "' [blank]", IF(C8&lt;&gt;Ref_Lookup!$C$3, "'" &amp; Ref_Lookup!$C$3 &amp; "' [found: '" &amp; C8 &amp; "']", "")), IF(ISBLANK(D8), "'" &amp; Ref_Lookup!$C$4 &amp; "' [blank]", IF(D8&lt;&gt;Ref_Lookup!$C$4, "'" &amp; Ref_Lookup!$C$4 &amp; "' [found: '" &amp; D8 &amp; "']", "")), IF(ISBLANK(E8), "'" &amp; Ref_Lookup!$C$5 &amp; "' [blank]", IF(E8&lt;&gt;Ref_Lookup!$C$5, "'" &amp; Ref_Lookup!$C$5 &amp; "' [found: '" &amp; E8 &amp; "']", "")), IF(ISBLANK(F8), "'" &amp; Ref_Lookup!$C$6 &amp; "' [blank]", IF(F8&lt;&gt;Ref_Lookup!$C$6, "'" &amp; Ref_Lookup!$C$6 &amp; "' [found: '" &amp; F8 &amp; "']", "")), IF(ISBLANK(G8), "'" &amp; Ref_Lookup!$C$7 &amp; "' [blank]", IF(G8&lt;&gt;Ref_Lookup!$C$7, "'" &amp; Ref_Lookup!$C$7 &amp; "' [found: '" &amp; G8 &amp; "']", "")), IF(ISBLANK(H8), "'" &amp; Ref_Lookup!$C$8 &amp; "' [blank]", IF(H8&lt;&gt;Ref_Lookup!$C$8, "'" &amp; Ref_Lookup!$C$8 &amp; "' [found: '" &amp; H8 &amp; "']", "")), IF(ISBLANK(I8), "'" &amp; Ref_Lookup!$C$9 &amp; "' [blank]", IF(I8&lt;&gt;Ref_Lookup!$C$9, "'" &amp; Ref_Lookup!$C$9 &amp; "' [found: '" &amp; I8 &amp; "']", "")), IF(ISBLANK(J8), "'" &amp; Ref_Lookup!$C$10 &amp; "' [blank]", IF(J8&lt;&gt;Ref_Lookup!$C$10, "'" &amp; Ref_Lookup!$C$10 &amp; "' [found: '" &amp; J8 &amp; "']", "")), IF(ISBLANK(K8), "'" &amp; Ref_Lookup!$C$11 &amp; "' [blank]", IF(K8&lt;&gt;Ref_Lookup!$C$11, "'" &amp; Ref_Lookup!$C$11 &amp; "' [found: '" &amp; K8 &amp; "']", "")), IF(ISBLANK(L8), "'" &amp; Ref_Lookup!$C$12 &amp; "' [blank]", IF(L8&lt;&gt;Ref_Lookup!$C$12, "'" &amp; Ref_Lookup!$C$12 &amp; "' [found: '" &amp; L8 &amp; "']", "")), IF(ISBLANK(M8), "'" &amp; Ref_Lookup!$C$13 &amp; "' [blank]", IF(M8&lt;&gt;Ref_Lookup!$C$13, "'" &amp; Ref_Lookup!$C$13 &amp; "' [found: '" &amp; M8 &amp; "']", ""))))</f>
        <v/>
      </c>
    </row>
    <row r="6" ht="24" customHeight="1">
      <c r="B6" s="11">
        <f>IF(SUM(L9:L35)&gt;0,"✔ INTEGRITY CHECK: AMI Units Reconciled","⚠ INTEGRITY WARNING: Unit totals missing! Input units across AMI tiers.")</f>
        <v/>
      </c>
    </row>
    <row r="7" ht="10" customHeight="1"/>
    <row r="8" ht="28" customHeight="1">
      <c r="B8" s="12" t="inlineStr">
        <is>
          <t>Record_ID</t>
        </is>
      </c>
      <c r="C8" s="12" t="inlineStr">
        <is>
          <t>Reporting_Year</t>
        </is>
      </c>
      <c r="D8" s="12" t="inlineStr">
        <is>
          <t>Jurisdiction</t>
        </is>
      </c>
      <c r="E8" s="12" t="inlineStr">
        <is>
          <t>Structure_Type</t>
        </is>
      </c>
      <c r="F8" s="12" t="inlineStr">
        <is>
          <t>AMI_0_to_30_Pct_Units</t>
        </is>
      </c>
      <c r="G8" s="12" t="inlineStr">
        <is>
          <t>AMI_31_to_50_Pct_Units</t>
        </is>
      </c>
      <c r="H8" s="12" t="inlineStr">
        <is>
          <t>AMI_51_to_80_Pct_Units</t>
        </is>
      </c>
      <c r="I8" s="12" t="inlineStr">
        <is>
          <t>AMI_81_to_100_Pct_Units</t>
        </is>
      </c>
      <c r="J8" s="12" t="inlineStr">
        <is>
          <t>AMI_101_to_120_Pct_Units</t>
        </is>
      </c>
      <c r="K8" s="12" t="inlineStr">
        <is>
          <t>AMI_Greater_120_Pct_Units</t>
        </is>
      </c>
      <c r="L8" s="12" t="inlineStr">
        <is>
          <t>Total_Units_Row_Sum</t>
        </is>
      </c>
      <c r="M8" s="12" t="inlineStr">
        <is>
          <t>Reconciliation_Status</t>
        </is>
      </c>
    </row>
    <row r="9" ht="21" customHeight="1">
      <c r="B9" s="13" t="inlineStr">
        <is>
          <t>AMI-2025-001</t>
        </is>
      </c>
      <c r="C9" s="14" t="n">
        <v>2025</v>
      </c>
      <c r="D9" s="15" t="inlineStr">
        <is>
          <t>Anacortes</t>
        </is>
      </c>
      <c r="E9" s="15" t="inlineStr">
        <is>
          <t>1-unit (Single Family)</t>
        </is>
      </c>
      <c r="F9" s="16" t="n">
        <v>0</v>
      </c>
      <c r="G9" s="16" t="n">
        <v>0</v>
      </c>
      <c r="H9" s="16" t="n">
        <v>2</v>
      </c>
      <c r="I9" s="16" t="n">
        <v>6</v>
      </c>
      <c r="J9" s="16" t="n">
        <v>12</v>
      </c>
      <c r="K9" s="16" t="n">
        <v>18</v>
      </c>
      <c r="L9" s="17">
        <f>SUM(F9:K9)</f>
        <v/>
      </c>
      <c r="M9" s="18" t="inlineStr">
        <is>
          <t>Reconciled</t>
        </is>
      </c>
    </row>
    <row r="10" ht="21" customHeight="1">
      <c r="B10" s="19" t="inlineStr">
        <is>
          <t>AMI-2025-002</t>
        </is>
      </c>
      <c r="C10" s="20" t="n">
        <v>2025</v>
      </c>
      <c r="D10" s="21" t="inlineStr">
        <is>
          <t>Anacortes</t>
        </is>
      </c>
      <c r="E10" s="21" t="inlineStr">
        <is>
          <t>2-units (Duplex)</t>
        </is>
      </c>
      <c r="F10" s="22" t="n">
        <v>0</v>
      </c>
      <c r="G10" s="22" t="n">
        <v>0</v>
      </c>
      <c r="H10" s="22" t="n">
        <v>1</v>
      </c>
      <c r="I10" s="22" t="n">
        <v>1</v>
      </c>
      <c r="J10" s="22" t="n">
        <v>0</v>
      </c>
      <c r="K10" s="22" t="n">
        <v>0</v>
      </c>
      <c r="L10" s="17">
        <f>SUM(F10:K10)</f>
        <v/>
      </c>
      <c r="M10" s="23" t="inlineStr">
        <is>
          <t>Reconciled</t>
        </is>
      </c>
    </row>
    <row r="11" ht="21" customHeight="1">
      <c r="B11" s="13" t="inlineStr">
        <is>
          <t>AMI-2025-003</t>
        </is>
      </c>
      <c r="C11" s="14" t="n">
        <v>2025</v>
      </c>
      <c r="D11" s="15" t="inlineStr">
        <is>
          <t>Anacortes</t>
        </is>
      </c>
      <c r="E11" s="15" t="inlineStr">
        <is>
          <t>3-4 units (Multi-Family)</t>
        </is>
      </c>
      <c r="F11" s="16" t="n">
        <v>0</v>
      </c>
      <c r="G11" s="16" t="n">
        <v>2</v>
      </c>
      <c r="H11" s="16" t="n">
        <v>3</v>
      </c>
      <c r="I11" s="16" t="n">
        <v>2</v>
      </c>
      <c r="J11" s="16" t="n">
        <v>1</v>
      </c>
      <c r="K11" s="16" t="n">
        <v>0</v>
      </c>
      <c r="L11" s="17">
        <f>SUM(F11:K11)</f>
        <v/>
      </c>
      <c r="M11" s="18" t="inlineStr">
        <is>
          <t>Reconciled</t>
        </is>
      </c>
    </row>
    <row r="12" ht="21" customHeight="1">
      <c r="B12" s="19" t="inlineStr">
        <is>
          <t>AMI-2025-004</t>
        </is>
      </c>
      <c r="C12" s="20" t="n">
        <v>2025</v>
      </c>
      <c r="D12" s="21" t="inlineStr">
        <is>
          <t>Anacortes</t>
        </is>
      </c>
      <c r="E12" s="21" t="inlineStr">
        <is>
          <t>5+ units (Multi-Family)</t>
        </is>
      </c>
      <c r="F12" s="22" t="n">
        <v>8</v>
      </c>
      <c r="G12" s="22" t="n">
        <v>12</v>
      </c>
      <c r="H12" s="22" t="n">
        <v>14</v>
      </c>
      <c r="I12" s="22" t="n">
        <v>4</v>
      </c>
      <c r="J12" s="22" t="n">
        <v>2</v>
      </c>
      <c r="K12" s="22" t="n">
        <v>0</v>
      </c>
      <c r="L12" s="17">
        <f>SUM(F12:K12)</f>
        <v/>
      </c>
      <c r="M12" s="23" t="inlineStr">
        <is>
          <t>Reconciled</t>
        </is>
      </c>
    </row>
    <row r="13" ht="21" customHeight="1">
      <c r="B13" s="13" t="inlineStr">
        <is>
          <t>AMI-2025-005</t>
        </is>
      </c>
      <c r="C13" s="14" t="n">
        <v>2025</v>
      </c>
      <c r="D13" s="15" t="inlineStr">
        <is>
          <t>Anacortes</t>
        </is>
      </c>
      <c r="E13" s="15" t="inlineStr">
        <is>
          <t>ADU (Accessory Dwelling)</t>
        </is>
      </c>
      <c r="F13" s="16" t="n">
        <v>1</v>
      </c>
      <c r="G13" s="16" t="n">
        <v>3</v>
      </c>
      <c r="H13" s="16" t="n">
        <v>4</v>
      </c>
      <c r="I13" s="16" t="n">
        <v>2</v>
      </c>
      <c r="J13" s="16" t="n">
        <v>0</v>
      </c>
      <c r="K13" s="16" t="n">
        <v>0</v>
      </c>
      <c r="L13" s="17">
        <f>SUM(F13:K13)</f>
        <v/>
      </c>
      <c r="M13" s="18" t="inlineStr">
        <is>
          <t>Reconciled</t>
        </is>
      </c>
    </row>
    <row r="14" ht="21" customHeight="1">
      <c r="B14" s="19" t="inlineStr">
        <is>
          <t>AMI-2025-006</t>
        </is>
      </c>
      <c r="C14" s="20" t="n">
        <v>2025</v>
      </c>
      <c r="D14" s="21" t="inlineStr">
        <is>
          <t>Burlington</t>
        </is>
      </c>
      <c r="E14" s="21" t="inlineStr">
        <is>
          <t>1-unit (Single Family)</t>
        </is>
      </c>
      <c r="F14" s="22" t="n">
        <v>0</v>
      </c>
      <c r="G14" s="22" t="n">
        <v>0</v>
      </c>
      <c r="H14" s="22" t="n">
        <v>1</v>
      </c>
      <c r="I14" s="22" t="n">
        <v>4</v>
      </c>
      <c r="J14" s="22" t="n">
        <v>6</v>
      </c>
      <c r="K14" s="22" t="n">
        <v>4</v>
      </c>
      <c r="L14" s="17">
        <f>SUM(F14:K14)</f>
        <v/>
      </c>
      <c r="M14" s="23" t="inlineStr">
        <is>
          <t>Reconciled</t>
        </is>
      </c>
    </row>
    <row r="15" ht="21" customHeight="1">
      <c r="B15" s="13" t="inlineStr">
        <is>
          <t>AMI-2025-007</t>
        </is>
      </c>
      <c r="C15" s="14" t="n">
        <v>2025</v>
      </c>
      <c r="D15" s="15" t="inlineStr">
        <is>
          <t>Burlington</t>
        </is>
      </c>
      <c r="E15" s="15" t="inlineStr">
        <is>
          <t>2-units (Duplex)</t>
        </is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7">
        <f>SUM(F15:K15)</f>
        <v/>
      </c>
      <c r="M15" s="18" t="inlineStr">
        <is>
          <t>Reconciled</t>
        </is>
      </c>
    </row>
    <row r="16" ht="21" customHeight="1">
      <c r="B16" s="19" t="inlineStr">
        <is>
          <t>AMI-2025-008</t>
        </is>
      </c>
      <c r="C16" s="20" t="n">
        <v>2025</v>
      </c>
      <c r="D16" s="21" t="inlineStr">
        <is>
          <t>Burlington</t>
        </is>
      </c>
      <c r="E16" s="21" t="inlineStr">
        <is>
          <t>3-4 units (Multi-Family)</t>
        </is>
      </c>
      <c r="F16" s="22" t="n">
        <v>1</v>
      </c>
      <c r="G16" s="22" t="n">
        <v>1</v>
      </c>
      <c r="H16" s="22" t="n">
        <v>2</v>
      </c>
      <c r="I16" s="22" t="n">
        <v>2</v>
      </c>
      <c r="J16" s="22" t="n">
        <v>0</v>
      </c>
      <c r="K16" s="22" t="n">
        <v>0</v>
      </c>
      <c r="L16" s="17">
        <f>SUM(F16:K16)</f>
        <v/>
      </c>
      <c r="M16" s="23" t="inlineStr">
        <is>
          <t>Reconciled</t>
        </is>
      </c>
    </row>
    <row r="17" ht="21" customHeight="1">
      <c r="B17" s="13" t="inlineStr">
        <is>
          <t>AMI-2025-009</t>
        </is>
      </c>
      <c r="C17" s="14" t="n">
        <v>2025</v>
      </c>
      <c r="D17" s="15" t="inlineStr">
        <is>
          <t>Burlington</t>
        </is>
      </c>
      <c r="E17" s="15" t="inlineStr">
        <is>
          <t>5+ units (Multi-Family)</t>
        </is>
      </c>
      <c r="F17" s="16" t="n">
        <v>12</v>
      </c>
      <c r="G17" s="16" t="n">
        <v>16</v>
      </c>
      <c r="H17" s="16" t="n">
        <v>18</v>
      </c>
      <c r="I17" s="16" t="n">
        <v>4</v>
      </c>
      <c r="J17" s="16" t="n">
        <v>2</v>
      </c>
      <c r="K17" s="16" t="n">
        <v>0</v>
      </c>
      <c r="L17" s="17">
        <f>SUM(F17:K17)</f>
        <v/>
      </c>
      <c r="M17" s="18" t="inlineStr">
        <is>
          <t>Reconciled</t>
        </is>
      </c>
    </row>
    <row r="18" ht="21" customHeight="1">
      <c r="B18" s="19" t="inlineStr">
        <is>
          <t>AMI-2025-010</t>
        </is>
      </c>
      <c r="C18" s="20" t="n">
        <v>2025</v>
      </c>
      <c r="D18" s="21" t="inlineStr">
        <is>
          <t>Burlington</t>
        </is>
      </c>
      <c r="E18" s="21" t="inlineStr">
        <is>
          <t>ADU (Accessory Dwelling)</t>
        </is>
      </c>
      <c r="F18" s="22" t="n">
        <v>1</v>
      </c>
      <c r="G18" s="22" t="n">
        <v>1</v>
      </c>
      <c r="H18" s="22" t="n">
        <v>2</v>
      </c>
      <c r="I18" s="22" t="n">
        <v>1</v>
      </c>
      <c r="J18" s="22" t="n">
        <v>0</v>
      </c>
      <c r="K18" s="22" t="n">
        <v>0</v>
      </c>
      <c r="L18" s="17">
        <f>SUM(F18:K18)</f>
        <v/>
      </c>
      <c r="M18" s="23" t="inlineStr">
        <is>
          <t>Reconciled</t>
        </is>
      </c>
    </row>
    <row r="19" ht="21" customHeight="1">
      <c r="B19" s="13" t="inlineStr">
        <is>
          <t>AMI-2025-011</t>
        </is>
      </c>
      <c r="C19" s="14" t="n">
        <v>2025</v>
      </c>
      <c r="D19" s="15" t="inlineStr">
        <is>
          <t>Mount Vernon</t>
        </is>
      </c>
      <c r="E19" s="15" t="inlineStr">
        <is>
          <t>1-unit (Single Family)</t>
        </is>
      </c>
      <c r="F19" s="16" t="n">
        <v>0</v>
      </c>
      <c r="G19" s="16" t="n">
        <v>0</v>
      </c>
      <c r="H19" s="16" t="n">
        <v>5</v>
      </c>
      <c r="I19" s="16" t="n">
        <v>15</v>
      </c>
      <c r="J19" s="16" t="n">
        <v>25</v>
      </c>
      <c r="K19" s="16" t="n">
        <v>25</v>
      </c>
      <c r="L19" s="17">
        <f>SUM(F19:K19)</f>
        <v/>
      </c>
      <c r="M19" s="18" t="inlineStr">
        <is>
          <t>Reconciled</t>
        </is>
      </c>
    </row>
    <row r="20" ht="21" customHeight="1">
      <c r="B20" s="19" t="inlineStr">
        <is>
          <t>AMI-2025-012</t>
        </is>
      </c>
      <c r="C20" s="20" t="n">
        <v>2025</v>
      </c>
      <c r="D20" s="21" t="inlineStr">
        <is>
          <t>Mount Vernon</t>
        </is>
      </c>
      <c r="E20" s="21" t="inlineStr">
        <is>
          <t>2-units (Duplex)</t>
        </is>
      </c>
      <c r="F20" s="22" t="n">
        <v>0</v>
      </c>
      <c r="G20" s="22" t="n">
        <v>1</v>
      </c>
      <c r="H20" s="22" t="n">
        <v>2</v>
      </c>
      <c r="I20" s="22" t="n">
        <v>2</v>
      </c>
      <c r="J20" s="22" t="n">
        <v>1</v>
      </c>
      <c r="K20" s="22" t="n">
        <v>0</v>
      </c>
      <c r="L20" s="17">
        <f>SUM(F20:K20)</f>
        <v/>
      </c>
      <c r="M20" s="23" t="inlineStr">
        <is>
          <t>Reconciled</t>
        </is>
      </c>
    </row>
    <row r="21" ht="21" customHeight="1">
      <c r="B21" s="13" t="inlineStr">
        <is>
          <t>AMI-2025-013</t>
        </is>
      </c>
      <c r="C21" s="14" t="n">
        <v>2025</v>
      </c>
      <c r="D21" s="15" t="inlineStr">
        <is>
          <t>Mount Vernon</t>
        </is>
      </c>
      <c r="E21" s="15" t="inlineStr">
        <is>
          <t>3-4 units (Multi-Family)</t>
        </is>
      </c>
      <c r="F21" s="16" t="n">
        <v>2</v>
      </c>
      <c r="G21" s="16" t="n">
        <v>4</v>
      </c>
      <c r="H21" s="16" t="n">
        <v>6</v>
      </c>
      <c r="I21" s="16" t="n">
        <v>3</v>
      </c>
      <c r="J21" s="16" t="n">
        <v>1</v>
      </c>
      <c r="K21" s="16" t="n">
        <v>0</v>
      </c>
      <c r="L21" s="17">
        <f>SUM(F21:K21)</f>
        <v/>
      </c>
      <c r="M21" s="18" t="inlineStr">
        <is>
          <t>Reconciled</t>
        </is>
      </c>
    </row>
    <row r="22" ht="21" customHeight="1">
      <c r="B22" s="19" t="inlineStr">
        <is>
          <t>AMI-2025-014</t>
        </is>
      </c>
      <c r="C22" s="20" t="n">
        <v>2025</v>
      </c>
      <c r="D22" s="21" t="inlineStr">
        <is>
          <t>Mount Vernon</t>
        </is>
      </c>
      <c r="E22" s="21" t="inlineStr">
        <is>
          <t>5+ units (Multi-Family)</t>
        </is>
      </c>
      <c r="F22" s="22" t="n">
        <v>18</v>
      </c>
      <c r="G22" s="22" t="n">
        <v>28</v>
      </c>
      <c r="H22" s="22" t="n">
        <v>35</v>
      </c>
      <c r="I22" s="22" t="n">
        <v>10</v>
      </c>
      <c r="J22" s="22" t="n">
        <v>4</v>
      </c>
      <c r="K22" s="22" t="n">
        <v>0</v>
      </c>
      <c r="L22" s="17">
        <f>SUM(F22:K22)</f>
        <v/>
      </c>
      <c r="M22" s="23" t="inlineStr">
        <is>
          <t>Reconciled</t>
        </is>
      </c>
    </row>
    <row r="23" ht="21" customHeight="1">
      <c r="B23" s="13" t="inlineStr">
        <is>
          <t>AMI-2025-015</t>
        </is>
      </c>
      <c r="C23" s="14" t="n">
        <v>2025</v>
      </c>
      <c r="D23" s="15" t="inlineStr">
        <is>
          <t>Mount Vernon</t>
        </is>
      </c>
      <c r="E23" s="15" t="inlineStr">
        <is>
          <t>ADU (Accessory Dwelling)</t>
        </is>
      </c>
      <c r="F23" s="16" t="n">
        <v>2</v>
      </c>
      <c r="G23" s="16" t="n">
        <v>5</v>
      </c>
      <c r="H23" s="16" t="n">
        <v>7</v>
      </c>
      <c r="I23" s="16" t="n">
        <v>3</v>
      </c>
      <c r="J23" s="16" t="n">
        <v>1</v>
      </c>
      <c r="K23" s="16" t="n">
        <v>0</v>
      </c>
      <c r="L23" s="17">
        <f>SUM(F23:K23)</f>
        <v/>
      </c>
      <c r="M23" s="18" t="inlineStr">
        <is>
          <t>Reconciled</t>
        </is>
      </c>
    </row>
    <row r="24" ht="21" customHeight="1">
      <c r="B24" s="19" t="inlineStr">
        <is>
          <t>AMI-2025-016</t>
        </is>
      </c>
      <c r="C24" s="20" t="n">
        <v>2025</v>
      </c>
      <c r="D24" s="21" t="inlineStr">
        <is>
          <t>Sedro-Woolley</t>
        </is>
      </c>
      <c r="E24" s="21" t="inlineStr">
        <is>
          <t>1-unit (Single Family)</t>
        </is>
      </c>
      <c r="F24" s="22" t="n">
        <v>0</v>
      </c>
      <c r="G24" s="22" t="n">
        <v>0</v>
      </c>
      <c r="H24" s="22" t="n">
        <v>4</v>
      </c>
      <c r="I24" s="22" t="n">
        <v>10</v>
      </c>
      <c r="J24" s="22" t="n">
        <v>16</v>
      </c>
      <c r="K24" s="22" t="n">
        <v>10</v>
      </c>
      <c r="L24" s="17">
        <f>SUM(F24:K24)</f>
        <v/>
      </c>
      <c r="M24" s="23" t="inlineStr">
        <is>
          <t>Reconciled</t>
        </is>
      </c>
    </row>
    <row r="25" ht="21" customHeight="1">
      <c r="B25" s="13" t="inlineStr">
        <is>
          <t>AMI-2025-017</t>
        </is>
      </c>
      <c r="C25" s="14" t="n">
        <v>2025</v>
      </c>
      <c r="D25" s="15" t="inlineStr">
        <is>
          <t>Sedro-Woolley</t>
        </is>
      </c>
      <c r="E25" s="15" t="inlineStr">
        <is>
          <t>2-units (Duplex)</t>
        </is>
      </c>
      <c r="F25" s="16" t="n">
        <v>0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0</v>
      </c>
      <c r="L25" s="17">
        <f>SUM(F25:K25)</f>
        <v/>
      </c>
      <c r="M25" s="18" t="inlineStr">
        <is>
          <t>Reconciled</t>
        </is>
      </c>
    </row>
    <row r="26" ht="21" customHeight="1">
      <c r="B26" s="19" t="inlineStr">
        <is>
          <t>AMI-2025-018</t>
        </is>
      </c>
      <c r="C26" s="20" t="n">
        <v>2025</v>
      </c>
      <c r="D26" s="21" t="inlineStr">
        <is>
          <t>Sedro-Woolley</t>
        </is>
      </c>
      <c r="E26" s="21" t="inlineStr">
        <is>
          <t>3-4 units (Multi-Family)</t>
        </is>
      </c>
      <c r="F26" s="22" t="n">
        <v>1</v>
      </c>
      <c r="G26" s="22" t="n">
        <v>3</v>
      </c>
      <c r="H26" s="22" t="n">
        <v>4</v>
      </c>
      <c r="I26" s="22" t="n">
        <v>3</v>
      </c>
      <c r="J26" s="22" t="n">
        <v>1</v>
      </c>
      <c r="K26" s="22" t="n">
        <v>0</v>
      </c>
      <c r="L26" s="17">
        <f>SUM(F26:K26)</f>
        <v/>
      </c>
      <c r="M26" s="23" t="inlineStr">
        <is>
          <t>Reconciled</t>
        </is>
      </c>
    </row>
    <row r="27" ht="21" customHeight="1">
      <c r="B27" s="13" t="inlineStr">
        <is>
          <t>AMI-2025-019</t>
        </is>
      </c>
      <c r="C27" s="14" t="n">
        <v>2025</v>
      </c>
      <c r="D27" s="15" t="inlineStr">
        <is>
          <t>Sedro-Woolley</t>
        </is>
      </c>
      <c r="E27" s="15" t="inlineStr">
        <is>
          <t>5+ units (Multi-Family)</t>
        </is>
      </c>
      <c r="F27" s="16" t="n">
        <v>6</v>
      </c>
      <c r="G27" s="16" t="n">
        <v>10</v>
      </c>
      <c r="H27" s="16" t="n">
        <v>10</v>
      </c>
      <c r="I27" s="16" t="n">
        <v>3</v>
      </c>
      <c r="J27" s="16" t="n">
        <v>1</v>
      </c>
      <c r="K27" s="16" t="n">
        <v>0</v>
      </c>
      <c r="L27" s="17">
        <f>SUM(F27:K27)</f>
        <v/>
      </c>
      <c r="M27" s="18" t="inlineStr">
        <is>
          <t>Reconciled</t>
        </is>
      </c>
    </row>
    <row r="28" ht="21" customHeight="1">
      <c r="B28" s="19" t="inlineStr">
        <is>
          <t>AMI-2025-020</t>
        </is>
      </c>
      <c r="C28" s="20" t="n">
        <v>2025</v>
      </c>
      <c r="D28" s="21" t="inlineStr">
        <is>
          <t>Sedro-Woolley</t>
        </is>
      </c>
      <c r="E28" s="21" t="inlineStr">
        <is>
          <t>ADU (Accessory Dwelling)</t>
        </is>
      </c>
      <c r="F28" s="22" t="n">
        <v>1</v>
      </c>
      <c r="G28" s="22" t="n">
        <v>2</v>
      </c>
      <c r="H28" s="22" t="n">
        <v>3</v>
      </c>
      <c r="I28" s="22" t="n">
        <v>2</v>
      </c>
      <c r="J28" s="22" t="n">
        <v>0</v>
      </c>
      <c r="K28" s="22" t="n">
        <v>0</v>
      </c>
      <c r="L28" s="17">
        <f>SUM(F28:K28)</f>
        <v/>
      </c>
      <c r="M28" s="23" t="inlineStr">
        <is>
          <t>Reconciled</t>
        </is>
      </c>
    </row>
    <row r="29"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5" t="n"/>
      <c r="M29" s="24" t="n"/>
    </row>
    <row r="30"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5" t="n"/>
      <c r="M30" s="24" t="n"/>
    </row>
    <row r="31"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5" t="n"/>
      <c r="M31" s="24" t="n"/>
    </row>
    <row r="32"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5" t="n"/>
      <c r="M32" s="24" t="n"/>
    </row>
    <row r="33"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  <c r="M33" s="24" t="n"/>
    </row>
    <row r="34"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  <c r="M34" s="24" t="n"/>
    </row>
    <row r="35"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5" t="n"/>
      <c r="M35" s="24" t="n"/>
    </row>
    <row r="36"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5" t="n"/>
      <c r="M36" s="24" t="n"/>
    </row>
    <row r="37"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5" t="n"/>
      <c r="M37" s="24" t="n"/>
    </row>
    <row r="38"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5" t="n"/>
      <c r="M38" s="24" t="n"/>
    </row>
    <row r="39"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5" t="n"/>
      <c r="M39" s="24" t="n"/>
    </row>
    <row r="40"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  <c r="M40" s="24" t="n"/>
    </row>
    <row r="41"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5" t="n"/>
      <c r="M41" s="24" t="n"/>
    </row>
    <row r="42"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5" t="n"/>
      <c r="M42" s="24" t="n"/>
    </row>
    <row r="43"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5" t="n"/>
      <c r="M43" s="24" t="n"/>
    </row>
    <row r="44"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5" t="n"/>
      <c r="M44" s="24" t="n"/>
    </row>
    <row r="45"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5" t="n"/>
      <c r="M45" s="24" t="n"/>
    </row>
    <row r="46"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  <c r="M46" s="24" t="n"/>
    </row>
    <row r="47"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  <c r="M47" s="24" t="n"/>
    </row>
    <row r="48"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5" t="n"/>
      <c r="M48" s="24" t="n"/>
    </row>
    <row r="49"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5" t="n"/>
      <c r="M49" s="24" t="n"/>
    </row>
    <row r="50"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5" t="n"/>
      <c r="M50" s="24" t="n"/>
    </row>
    <row r="51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5" t="n"/>
      <c r="M51" s="24" t="n"/>
    </row>
    <row r="52"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5" t="n"/>
      <c r="M52" s="24" t="n"/>
    </row>
    <row r="53"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5" t="n"/>
      <c r="M53" s="24" t="n"/>
    </row>
    <row r="54"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  <c r="M54" s="24" t="n"/>
    </row>
    <row r="55"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5" t="n"/>
      <c r="M55" s="24" t="n"/>
    </row>
    <row r="56"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5" t="n"/>
      <c r="M56" s="24" t="n"/>
    </row>
    <row r="57"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5" t="n"/>
      <c r="M57" s="24" t="n"/>
    </row>
    <row r="58"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5" t="n"/>
      <c r="M58" s="24" t="n"/>
    </row>
    <row r="59"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5" t="n"/>
      <c r="M59" s="24" t="n"/>
    </row>
    <row r="60"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  <c r="M60" s="24" t="n"/>
    </row>
    <row r="61"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5" t="n"/>
      <c r="M61" s="24" t="n"/>
    </row>
    <row r="62"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5" t="n"/>
      <c r="M62" s="24" t="n"/>
    </row>
    <row r="63"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5" t="n"/>
      <c r="M63" s="24" t="n"/>
    </row>
    <row r="64"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5" t="n"/>
      <c r="M64" s="24" t="n"/>
    </row>
    <row r="65"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5" t="n"/>
      <c r="M65" s="24" t="n"/>
    </row>
    <row r="66"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5" t="n"/>
      <c r="M66" s="24" t="n"/>
    </row>
    <row r="67"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5" t="n"/>
      <c r="M67" s="24" t="n"/>
    </row>
    <row r="68"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5" t="n"/>
      <c r="M68" s="24" t="n"/>
    </row>
    <row r="69"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5" t="n"/>
      <c r="M69" s="24" t="n"/>
    </row>
    <row r="70"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5" t="n"/>
      <c r="M70" s="24" t="n"/>
    </row>
    <row r="71"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5" t="n"/>
      <c r="M71" s="24" t="n"/>
    </row>
    <row r="72"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5" t="n"/>
      <c r="M72" s="24" t="n"/>
    </row>
    <row r="73"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5" t="n"/>
      <c r="M73" s="24" t="n"/>
    </row>
    <row r="74"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5" t="n"/>
      <c r="M74" s="24" t="n"/>
    </row>
    <row r="75"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5" t="n"/>
      <c r="M75" s="24" t="n"/>
    </row>
    <row r="76"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5" t="n"/>
      <c r="M76" s="24" t="n"/>
    </row>
    <row r="77"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5" t="n"/>
      <c r="M77" s="24" t="n"/>
    </row>
    <row r="78"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5" t="n"/>
      <c r="M78" s="24" t="n"/>
    </row>
    <row r="79"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5" t="n"/>
      <c r="M79" s="24" t="n"/>
    </row>
    <row r="80"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5" t="n"/>
      <c r="M80" s="24" t="n"/>
    </row>
    <row r="81"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5" t="n"/>
      <c r="M81" s="24" t="n"/>
    </row>
    <row r="82"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5" t="n"/>
      <c r="M82" s="24" t="n"/>
    </row>
    <row r="83"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5" t="n"/>
      <c r="M83" s="24" t="n"/>
    </row>
    <row r="84"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5" t="n"/>
      <c r="M84" s="24" t="n"/>
    </row>
    <row r="85"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5" t="n"/>
      <c r="M85" s="24" t="n"/>
    </row>
    <row r="86"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5" t="n"/>
      <c r="M86" s="24" t="n"/>
    </row>
    <row r="87"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5" t="n"/>
      <c r="M87" s="24" t="n"/>
    </row>
    <row r="88"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5" t="n"/>
      <c r="M88" s="24" t="n"/>
    </row>
    <row r="89"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5" t="n"/>
      <c r="M89" s="24" t="n"/>
    </row>
    <row r="90"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5" t="n"/>
      <c r="M90" s="24" t="n"/>
    </row>
    <row r="91"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5" t="n"/>
      <c r="M91" s="24" t="n"/>
    </row>
    <row r="92"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5" t="n"/>
      <c r="M92" s="24" t="n"/>
    </row>
    <row r="93"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5" t="n"/>
      <c r="M93" s="24" t="n"/>
    </row>
    <row r="94"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5" t="n"/>
      <c r="M94" s="24" t="n"/>
    </row>
    <row r="95"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5" t="n"/>
      <c r="M95" s="24" t="n"/>
    </row>
    <row r="96"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5" t="n"/>
      <c r="M96" s="24" t="n"/>
    </row>
    <row r="97"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5" t="n"/>
      <c r="M97" s="24" t="n"/>
    </row>
    <row r="98"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5" t="n"/>
      <c r="M98" s="24" t="n"/>
    </row>
    <row r="99"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5" t="n"/>
      <c r="M99" s="24" t="n"/>
    </row>
    <row r="100"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5" t="n"/>
      <c r="M100" s="24" t="n"/>
    </row>
    <row r="101"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5" t="n"/>
      <c r="M101" s="24" t="n"/>
    </row>
    <row r="102"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5" t="n"/>
      <c r="M102" s="24" t="n"/>
    </row>
    <row r="103"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5" t="n"/>
      <c r="M103" s="24" t="n"/>
    </row>
    <row r="104"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5" t="n"/>
      <c r="M104" s="24" t="n"/>
    </row>
    <row r="105"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5" t="n"/>
      <c r="M105" s="24" t="n"/>
    </row>
    <row r="106"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5" t="n"/>
      <c r="M106" s="24" t="n"/>
    </row>
    <row r="107"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5" t="n"/>
      <c r="M107" s="24" t="n"/>
    </row>
    <row r="108"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5" t="n"/>
      <c r="M108" s="24" t="n"/>
    </row>
    <row r="109"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5" t="n"/>
      <c r="M109" s="24" t="n"/>
    </row>
    <row r="110"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5" t="n"/>
      <c r="M110" s="24" t="n"/>
    </row>
    <row r="111"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5" t="n"/>
      <c r="M111" s="24" t="n"/>
    </row>
    <row r="112"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5" t="n"/>
      <c r="M112" s="24" t="n"/>
    </row>
    <row r="113"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5" t="n"/>
      <c r="M113" s="24" t="n"/>
    </row>
    <row r="114"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5" t="n"/>
      <c r="M114" s="24" t="n"/>
    </row>
    <row r="115"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5" t="n"/>
      <c r="M115" s="24" t="n"/>
    </row>
    <row r="116"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5" t="n"/>
      <c r="M116" s="24" t="n"/>
    </row>
    <row r="117"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5" t="n"/>
      <c r="M117" s="24" t="n"/>
    </row>
    <row r="118"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5" t="n"/>
      <c r="M118" s="24" t="n"/>
    </row>
    <row r="119"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5" t="n"/>
      <c r="M119" s="24" t="n"/>
    </row>
    <row r="120"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5" t="n"/>
      <c r="M120" s="24" t="n"/>
    </row>
    <row r="121"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5" t="n"/>
      <c r="M121" s="24" t="n"/>
    </row>
    <row r="122"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5" t="n"/>
      <c r="M122" s="24" t="n"/>
    </row>
    <row r="123"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5" t="n"/>
      <c r="M123" s="24" t="n"/>
    </row>
    <row r="124"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5" t="n"/>
      <c r="M124" s="24" t="n"/>
    </row>
    <row r="125"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5" t="n"/>
      <c r="M125" s="24" t="n"/>
    </row>
    <row r="126"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5" t="n"/>
      <c r="M126" s="24" t="n"/>
    </row>
    <row r="127"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5" t="n"/>
      <c r="M127" s="24" t="n"/>
    </row>
    <row r="128"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5" t="n"/>
      <c r="M128" s="24" t="n"/>
    </row>
    <row r="129"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5" t="n"/>
      <c r="M129" s="24" t="n"/>
    </row>
    <row r="130"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5" t="n"/>
      <c r="M130" s="24" t="n"/>
    </row>
    <row r="131"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5" t="n"/>
      <c r="M131" s="24" t="n"/>
    </row>
    <row r="132"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5" t="n"/>
      <c r="M132" s="24" t="n"/>
    </row>
    <row r="133"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5" t="n"/>
      <c r="M133" s="24" t="n"/>
    </row>
    <row r="134"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5" t="n"/>
      <c r="M134" s="24" t="n"/>
    </row>
    <row r="135"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5" t="n"/>
      <c r="M135" s="24" t="n"/>
    </row>
    <row r="136"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5" t="n"/>
      <c r="M136" s="24" t="n"/>
    </row>
    <row r="137"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5" t="n"/>
      <c r="M137" s="24" t="n"/>
    </row>
    <row r="138"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5" t="n"/>
      <c r="M138" s="24" t="n"/>
    </row>
    <row r="139"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5" t="n"/>
      <c r="M139" s="24" t="n"/>
    </row>
    <row r="140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5" t="n"/>
      <c r="M140" s="24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5" t="n"/>
      <c r="M141" s="24" t="n"/>
    </row>
    <row r="142"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5" t="n"/>
      <c r="M142" s="24" t="n"/>
    </row>
    <row r="143"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5" t="n"/>
      <c r="M143" s="24" t="n"/>
    </row>
    <row r="144"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5" t="n"/>
      <c r="M144" s="24" t="n"/>
    </row>
    <row r="145"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5" t="n"/>
      <c r="M145" s="24" t="n"/>
    </row>
    <row r="146"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5" t="n"/>
      <c r="M146" s="24" t="n"/>
    </row>
    <row r="147"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5" t="n"/>
      <c r="M147" s="24" t="n"/>
    </row>
    <row r="148"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5" t="n"/>
      <c r="M148" s="24" t="n"/>
    </row>
    <row r="149"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5" t="n"/>
      <c r="M149" s="24" t="n"/>
    </row>
    <row r="150"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5" t="n"/>
      <c r="M150" s="24" t="n"/>
    </row>
    <row r="151"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5" t="n"/>
      <c r="M151" s="24" t="n"/>
    </row>
    <row r="152"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5" t="n"/>
      <c r="M152" s="24" t="n"/>
    </row>
    <row r="153"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5" t="n"/>
      <c r="M153" s="24" t="n"/>
    </row>
    <row r="154"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5" t="n"/>
      <c r="M154" s="24" t="n"/>
    </row>
    <row r="155"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5" t="n"/>
      <c r="M155" s="24" t="n"/>
    </row>
    <row r="156"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5" t="n"/>
      <c r="M156" s="24" t="n"/>
    </row>
    <row r="157"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5" t="n"/>
      <c r="M157" s="24" t="n"/>
    </row>
    <row r="158"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5" t="n"/>
      <c r="M158" s="24" t="n"/>
    </row>
    <row r="159"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5" t="n"/>
      <c r="M159" s="24" t="n"/>
    </row>
    <row r="160"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5" t="n"/>
      <c r="M160" s="24" t="n"/>
    </row>
    <row r="161"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5" t="n"/>
      <c r="M161" s="24" t="n"/>
    </row>
    <row r="162"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5" t="n"/>
      <c r="M162" s="24" t="n"/>
    </row>
    <row r="163"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5" t="n"/>
      <c r="M163" s="24" t="n"/>
    </row>
    <row r="164"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5" t="n"/>
      <c r="M164" s="24" t="n"/>
    </row>
    <row r="165"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5" t="n"/>
      <c r="M165" s="24" t="n"/>
    </row>
    <row r="166"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5" t="n"/>
      <c r="M166" s="24" t="n"/>
    </row>
    <row r="167"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5" t="n"/>
      <c r="M167" s="24" t="n"/>
    </row>
    <row r="168"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5" t="n"/>
      <c r="M168" s="24" t="n"/>
    </row>
    <row r="169"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5" t="n"/>
      <c r="M169" s="24" t="n"/>
    </row>
    <row r="170"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5" t="n"/>
      <c r="M170" s="24" t="n"/>
    </row>
    <row r="171"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5" t="n"/>
      <c r="M171" s="24" t="n"/>
    </row>
    <row r="172"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5" t="n"/>
      <c r="M172" s="24" t="n"/>
    </row>
    <row r="173"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5" t="n"/>
      <c r="M173" s="24" t="n"/>
    </row>
    <row r="174"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5" t="n"/>
      <c r="M174" s="24" t="n"/>
    </row>
    <row r="175"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5" t="n"/>
      <c r="M175" s="24" t="n"/>
    </row>
    <row r="176"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5" t="n"/>
      <c r="M176" s="24" t="n"/>
    </row>
    <row r="177"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5" t="n"/>
      <c r="M177" s="24" t="n"/>
    </row>
    <row r="178"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5" t="n"/>
      <c r="M178" s="24" t="n"/>
    </row>
    <row r="179"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5" t="n"/>
      <c r="M179" s="24" t="n"/>
    </row>
    <row r="180"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5" t="n"/>
      <c r="M180" s="24" t="n"/>
    </row>
    <row r="181"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5" t="n"/>
      <c r="M181" s="24" t="n"/>
    </row>
    <row r="182"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5" t="n"/>
      <c r="M182" s="24" t="n"/>
    </row>
    <row r="183"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5" t="n"/>
      <c r="M183" s="24" t="n"/>
    </row>
    <row r="184"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5" t="n"/>
      <c r="M184" s="24" t="n"/>
    </row>
    <row r="185"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5" t="n"/>
      <c r="M185" s="24" t="n"/>
    </row>
    <row r="186"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5" t="n"/>
      <c r="M186" s="24" t="n"/>
    </row>
    <row r="187"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5" t="n"/>
      <c r="M187" s="24" t="n"/>
    </row>
    <row r="188"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5" t="n"/>
      <c r="M188" s="24" t="n"/>
    </row>
    <row r="189"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5" t="n"/>
      <c r="M189" s="24" t="n"/>
    </row>
    <row r="190"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5" t="n"/>
      <c r="M190" s="24" t="n"/>
    </row>
    <row r="191"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5" t="n"/>
      <c r="M191" s="24" t="n"/>
    </row>
    <row r="192"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5" t="n"/>
      <c r="M192" s="24" t="n"/>
    </row>
    <row r="193"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5" t="n"/>
      <c r="M193" s="24" t="n"/>
    </row>
    <row r="194"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5" t="n"/>
      <c r="M194" s="24" t="n"/>
    </row>
    <row r="195"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5" t="n"/>
      <c r="M195" s="24" t="n"/>
    </row>
    <row r="196"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5" t="n"/>
      <c r="M196" s="24" t="n"/>
    </row>
    <row r="197"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5" t="n"/>
      <c r="M197" s="24" t="n"/>
    </row>
    <row r="198"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5" t="n"/>
      <c r="M198" s="24" t="n"/>
    </row>
    <row r="199"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5" t="n"/>
      <c r="M199" s="24" t="n"/>
    </row>
    <row r="200"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5" t="n"/>
      <c r="M200" s="24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2">
    <mergeCell ref="B6:M6"/>
    <mergeCell ref="B5:M5"/>
  </mergeCells>
  <conditionalFormatting sqref="B5:M5">
    <cfRule type="expression" priority="1" dxfId="0">
      <formula>ISNUMBER(SEARCH("❌",B5))</formula>
    </cfRule>
  </conditionalFormatting>
  <dataValidations count="1">
    <dataValidation sqref="D9:D200" showDropDown="0" showInputMessage="0" showErrorMessage="0" allowBlank="1" type="list">
      <formula1>Ref_Lookup!$A$2:$A$12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2" customWidth="1" min="3" max="3"/>
    <col width="45" customWidth="1" min="4" max="4"/>
  </cols>
  <sheetData>
    <row r="1">
      <c r="A1" s="26" t="inlineStr">
        <is>
          <t>Jurisdiction_Master</t>
        </is>
      </c>
      <c r="B1" s="26" t="inlineStr">
        <is>
          <t>UGA_Classification</t>
        </is>
      </c>
      <c r="C1" s="27" t="inlineStr">
        <is>
          <t>Official_Header_Schema</t>
        </is>
      </c>
      <c r="D1" s="26" t="inlineStr">
        <is>
          <t>Canonical_Signature_Key</t>
        </is>
      </c>
    </row>
    <row r="2">
      <c r="A2" s="7" t="inlineStr">
        <is>
          <t>Anacortes</t>
        </is>
      </c>
      <c r="B2" s="7" t="inlineStr">
        <is>
          <t>Incorporated City/Town</t>
        </is>
      </c>
      <c r="C2" s="6" t="inlineStr">
        <is>
          <t>Record_ID</t>
        </is>
      </c>
      <c r="D2" s="28" t="inlineStr">
        <is>
          <t>Record_ID|Reporting_Year|Jurisdiction|Structure_Type|AMI_0_to_30_Pct_Units|AMI_31_to_50_Pct_Units|AMI_51_to_80_Pct_Units|AMI_81_to_100_Pct_Units|AMI_101_to_120_Pct_Units|AMI_Greater_120_Pct_Units|Total_Units_Row_Sum|Reconciliation_Status</t>
        </is>
      </c>
    </row>
    <row r="3">
      <c r="A3" s="7" t="inlineStr">
        <is>
          <t>Burlington</t>
        </is>
      </c>
      <c r="B3" s="7" t="inlineStr">
        <is>
          <t>Urban Growth Area (UGA)</t>
        </is>
      </c>
      <c r="C3" s="6" t="inlineStr">
        <is>
          <t>Reporting_Year</t>
        </is>
      </c>
    </row>
    <row r="4">
      <c r="A4" s="7" t="inlineStr">
        <is>
          <t>Concrete</t>
        </is>
      </c>
      <c r="B4" s="7" t="inlineStr">
        <is>
          <t>Unincorporated Rural Area</t>
        </is>
      </c>
      <c r="C4" s="6" t="inlineStr">
        <is>
          <t>Jurisdiction</t>
        </is>
      </c>
    </row>
    <row r="5">
      <c r="A5" s="7" t="inlineStr">
        <is>
          <t>Hamilton</t>
        </is>
      </c>
      <c r="C5" s="6" t="inlineStr">
        <is>
          <t>Structure_Type</t>
        </is>
      </c>
    </row>
    <row r="6">
      <c r="A6" s="7" t="inlineStr">
        <is>
          <t>La Conner</t>
        </is>
      </c>
      <c r="C6" s="6" t="inlineStr">
        <is>
          <t>AMI_0_to_30_Pct_Units</t>
        </is>
      </c>
    </row>
    <row r="7">
      <c r="A7" s="7" t="inlineStr">
        <is>
          <t>Lyman</t>
        </is>
      </c>
      <c r="C7" s="6" t="inlineStr">
        <is>
          <t>AMI_31_to_50_Pct_Units</t>
        </is>
      </c>
    </row>
    <row r="8">
      <c r="A8" s="7" t="inlineStr">
        <is>
          <t>Mount Vernon</t>
        </is>
      </c>
      <c r="C8" s="6" t="inlineStr">
        <is>
          <t>AMI_51_to_80_Pct_Units</t>
        </is>
      </c>
    </row>
    <row r="9">
      <c r="A9" s="7" t="inlineStr">
        <is>
          <t>Sedro-Woolley</t>
        </is>
      </c>
      <c r="C9" s="6" t="inlineStr">
        <is>
          <t>AMI_81_to_100_Pct_Units</t>
        </is>
      </c>
    </row>
    <row r="10">
      <c r="A10" s="7" t="inlineStr">
        <is>
          <t>Bay View Ridge UGA</t>
        </is>
      </c>
      <c r="C10" s="6" t="inlineStr">
        <is>
          <t>AMI_101_to_120_Pct_Units</t>
        </is>
      </c>
    </row>
    <row r="11">
      <c r="A11" s="7" t="inlineStr">
        <is>
          <t>Swinomish UGA</t>
        </is>
      </c>
      <c r="C11" s="6" t="inlineStr">
        <is>
          <t>AMI_Greater_120_Pct_Units</t>
        </is>
      </c>
    </row>
    <row r="12">
      <c r="A12" s="7" t="inlineStr">
        <is>
          <t>Unincorporated Skagit County</t>
        </is>
      </c>
      <c r="C12" s="6" t="inlineStr">
        <is>
          <t>Total_Units_Row_Sum</t>
        </is>
      </c>
    </row>
    <row r="13">
      <c r="C13" s="6" t="inlineStr">
        <is>
          <t>Reconciliation_Status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2026-10-08T19:24:16Z</dcterms:created>
  <dcterms:modified xsi:type="dcterms:W3CDTF">2026-10-08T19:24:16Z</dcterms:modified>
</cp:coreProperties>
</file>
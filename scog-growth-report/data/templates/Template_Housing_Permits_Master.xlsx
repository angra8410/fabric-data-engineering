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Housing_Permits_Master" sheetId="2" state="visible" r:id="rId4"/>
    <sheet name="Ref_Lookup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<sst xmlns="http://schemas.openxmlformats.org/spreadsheetml/2006/main" count="152" uniqueCount="80">
  <si>
    <t xml:space="preserve">SCOG Housing Permits &amp; Development Intake</t>
  </si>
  <si>
    <t xml:space="preserve">Standardized Annual Reporting Template for Municipal and UGA Residential Activity</t>
  </si>
  <si>
    <t xml:space="preserve">Official Skagit Council of Governments (SCOG) Standard Data Template</t>
  </si>
  <si>
    <t xml:space="preserve">Standard Operating Procedure (SOP) for Annual Updates</t>
  </si>
  <si>
    <t xml:space="preserve">Step 1</t>
  </si>
  <si>
    <t xml:space="preserve">Open Template in Excel</t>
  </si>
  <si>
    <t xml:space="preserve">Open this workbook from the governed SCOG SharePoint Online library.</t>
  </si>
  <si>
    <t xml:space="preserve">Step 2</t>
  </si>
  <si>
    <t xml:space="preserve">Confirm Schema Validation Banner</t>
  </si>
  <si>
    <t xml:space="preserve">Verify that Cell B5 displays '✔ SCHEMA VALID: Columns Match Official Specification'. If an error shows, do not rename or delete headers.</t>
  </si>
  <si>
    <t xml:space="preserve">Step 3</t>
  </si>
  <si>
    <t xml:space="preserve">Input New Year Records</t>
  </si>
  <si>
    <t xml:space="preserve">Append new annual observations at the bottom of the table. Use exact dropdown values for Jurisdiction and UGA Type.</t>
  </si>
  <si>
    <t xml:space="preserve">Step 4</t>
  </si>
  <si>
    <t xml:space="preserve">Automatic Net Unit Calculation</t>
  </si>
  <si>
    <t xml:space="preserve">Columns L (Total Permitted Units) and O (Net New Units) compute automatically using standard native formulas. Do not overwrite.</t>
  </si>
  <si>
    <t xml:space="preserve">Step 5</t>
  </si>
  <si>
    <t xml:space="preserve">Reconciliation &amp; Control Check</t>
  </si>
  <si>
    <t xml:space="preserve">Check Cell G5 to ensure historical adopted totals remain unaltered. Save file directly to SharePoint to trigger Power BI refresh.</t>
  </si>
  <si>
    <t xml:space="preserve">SCOG Annual Growth Monitoring Report — Master Housing Permits Data</t>
  </si>
  <si>
    <t xml:space="preserve">Regional Land Use and Residential Building Activity (1990 – Present)</t>
  </si>
  <si>
    <t xml:space="preserve">Record_ID</t>
  </si>
  <si>
    <t xml:space="preserve">Reporting_Year</t>
  </si>
  <si>
    <t xml:space="preserve">Jurisdiction</t>
  </si>
  <si>
    <t xml:space="preserve">UGA_Type</t>
  </si>
  <si>
    <t xml:space="preserve">Single_Family_Units</t>
  </si>
  <si>
    <t xml:space="preserve">Duplex_Units</t>
  </si>
  <si>
    <t xml:space="preserve">MultiFamily_3_4_Units</t>
  </si>
  <si>
    <t xml:space="preserve">MultiFamily_5_Plus_Units</t>
  </si>
  <si>
    <t xml:space="preserve">ADU_Units</t>
  </si>
  <si>
    <t xml:space="preserve">Mobile_Home_Units</t>
  </si>
  <si>
    <t xml:space="preserve">Total_Permitted_Units</t>
  </si>
  <si>
    <t xml:space="preserve">Completed_Units</t>
  </si>
  <si>
    <t xml:space="preserve">Demolished_Units</t>
  </si>
  <si>
    <t xml:space="preserve">Net_New_Units</t>
  </si>
  <si>
    <t xml:space="preserve">Total_Valuation_USD</t>
  </si>
  <si>
    <t xml:space="preserve">Data_Source_Reference</t>
  </si>
  <si>
    <t xml:space="preserve">HP-2024-001</t>
  </si>
  <si>
    <t xml:space="preserve">Anacortes</t>
  </si>
  <si>
    <t xml:space="preserve">Incorporated City/Town</t>
  </si>
  <si>
    <t xml:space="preserve">OFM April 1 Postcensal Permit/Completion/Demolition File (Estimate Year 2024); no valuation source available</t>
  </si>
  <si>
    <t xml:space="preserve">HP-2024-002</t>
  </si>
  <si>
    <t xml:space="preserve">Burlington</t>
  </si>
  <si>
    <t xml:space="preserve">HP-2024-003</t>
  </si>
  <si>
    <t xml:space="preserve">Concrete</t>
  </si>
  <si>
    <t xml:space="preserve">HP-2024-004</t>
  </si>
  <si>
    <t xml:space="preserve">Hamilton</t>
  </si>
  <si>
    <t xml:space="preserve">HP-2024-005</t>
  </si>
  <si>
    <t xml:space="preserve">La Conner</t>
  </si>
  <si>
    <t xml:space="preserve">HP-2024-006</t>
  </si>
  <si>
    <t xml:space="preserve">Lyman</t>
  </si>
  <si>
    <t xml:space="preserve">HP-2024-007</t>
  </si>
  <si>
    <t xml:space="preserve">Mount Vernon</t>
  </si>
  <si>
    <t xml:space="preserve">HP-2024-008</t>
  </si>
  <si>
    <t xml:space="preserve">Sedro-Woolley</t>
  </si>
  <si>
    <t xml:space="preserve">HP-2024-009</t>
  </si>
  <si>
    <t xml:space="preserve">Unincorporated Skagit County</t>
  </si>
  <si>
    <t xml:space="preserve">Unincorporated Rural Area</t>
  </si>
  <si>
    <t xml:space="preserve">HP-2025-001</t>
  </si>
  <si>
    <t xml:space="preserve">OFM April 1 Postcensal Permit/Completion/Demolition File (Estimate Year 2025, Apr 2024-Apr 2025); no valuation source available</t>
  </si>
  <si>
    <t xml:space="preserve">HP-2025-002</t>
  </si>
  <si>
    <t xml:space="preserve">HP-2025-003</t>
  </si>
  <si>
    <t xml:space="preserve">HP-2025-004</t>
  </si>
  <si>
    <t xml:space="preserve">HP-2025-005</t>
  </si>
  <si>
    <t xml:space="preserve">HP-2025-006</t>
  </si>
  <si>
    <t xml:space="preserve">HP-2025-007</t>
  </si>
  <si>
    <t xml:space="preserve">HP-2025-008</t>
  </si>
  <si>
    <t xml:space="preserve">HP-2025-009</t>
  </si>
  <si>
    <t xml:space="preserve">HP-2025-010</t>
  </si>
  <si>
    <t xml:space="preserve">Bay View Ridge UGA</t>
  </si>
  <si>
    <t xml:space="preserve">Urban Growth Area (UGA)</t>
  </si>
  <si>
    <t xml:space="preserve">Skagit County UGA Dev Permits 2025 (issue dates Jan 2025-Mar 2025 + stray 2024 rows; county-issued permit log, deduplicated from identical file copies)</t>
  </si>
  <si>
    <t xml:space="preserve">HP-2025-011</t>
  </si>
  <si>
    <t xml:space="preserve">Swinomish UGA</t>
  </si>
  <si>
    <t xml:space="preserve">Skagit County UGA Dev Permits 2025; all 5 Swinomish records are additions/alterations to existing structures, not new units</t>
  </si>
  <si>
    <t xml:space="preserve">Jurisdiction_Master</t>
  </si>
  <si>
    <t xml:space="preserve">UGA_Classification</t>
  </si>
  <si>
    <t xml:space="preserve">Official_Header_Schema</t>
  </si>
  <si>
    <t xml:space="preserve">Canonical_Signature_Key</t>
  </si>
  <si>
    <t xml:space="preserve">Record_ID|Reporting_Year|Jurisdiction|UGA_Type|Single_Family_Units|Duplex_Units|MultiFamily_3_4_Units|MultiFamily_5_Plus_Units|ADU_Units|Mobile_Home_Units|Total_Permitted_Units|Completed_Units|Demolished_Units|Net_New_Units|Total_Valuation_USD|Data_Source_Reference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</si>
</sst>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\$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F2942"/>
      <name val="Segoe UI"/>
      <family val="0"/>
      <charset val="1"/>
    </font>
    <font>
      <sz val="10.5"/>
      <color rgb="FF475569"/>
      <name val="Segoe UI"/>
      <family val="0"/>
      <charset val="1"/>
    </font>
    <font>
      <i val="true"/>
      <sz val="9"/>
      <color rgb="FF64748B"/>
      <name val="Segoe UI"/>
      <family val="0"/>
      <charset val="1"/>
    </font>
    <font>
      <b val="true"/>
      <sz val="11"/>
      <color rgb="FF0F2942"/>
      <name val="Segoe UI"/>
      <family val="0"/>
      <charset val="1"/>
    </font>
    <font>
      <b val="true"/>
      <sz val="9.5"/>
      <color rgb="FF0F172A"/>
      <name val="Segoe UI"/>
      <family val="0"/>
      <charset val="1"/>
    </font>
    <font>
      <sz val="9.5"/>
      <color rgb="FF0F172A"/>
      <name val="Segoe UI"/>
      <family val="0"/>
      <charset val="1"/>
    </font>
    <font>
      <b val="true"/>
      <sz val="10.5"/>
      <color rgb="FF166534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b val="true"/>
      <sz val="9.5"/>
      <color rgb="FF1E40AF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F5F9"/>
        <bgColor rgb="FFEFF6FF"/>
      </patternFill>
    </fill>
    <fill>
      <patternFill patternType="solid">
        <fgColor rgb="FFF8FAFC"/>
        <bgColor rgb="FFFFFFFF"/>
      </patternFill>
    </fill>
    <fill>
      <patternFill patternType="solid">
        <fgColor rgb="FFDCFCE7"/>
        <bgColor rgb="FFEFF6FF"/>
      </patternFill>
    </fill>
    <fill>
      <patternFill patternType="solid">
        <fgColor rgb="FF0F2942"/>
        <bgColor rgb="FF0F172A"/>
      </patternFill>
    </fill>
    <fill>
      <patternFill patternType="solid">
        <fgColor rgb="FFEFF6FF"/>
        <bgColor rgb="FFF1F5F9"/>
      </patternFill>
    </fill>
    <fill>
      <patternFill patternType="solid">
        <fgColor rgb="FF1E40AF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left" vertical="center" textRotation="0" wrapText="true" indent="0" shrinkToFit="false"/>
      <protection locked="true" hidden="true"/>
    </xf>
    <xf numFmtId="164" fontId="10" fillId="4" borderId="1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9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12" fillId="6" borderId="1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6" fontId="9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9" fillId="3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6" fontId="9" fillId="3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F2942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fgColor rgb="FF1E40AF"/>
          <bgColor rgb="FF000000"/>
        </patternFill>
      </fill>
    </dxf>
    <dxf>
      <fill>
        <patternFill patternType="solid">
          <fgColor rgb="FF64748B"/>
          <bgColor rgb="FF000000"/>
        </patternFill>
      </fill>
    </dxf>
    <dxf>
      <font>
        <name val="Segoe UI"/>
        <charset val="1"/>
        <family val="0"/>
        <b val="1"/>
        <color rgb="FF991B1B"/>
        <sz val="10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6FF"/>
      <rgbColor rgb="FFF1F5F9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F2942"/>
      <rgbColor rgb="FF339966"/>
      <rgbColor rgb="FF0F172A"/>
      <rgbColor rgb="FF333300"/>
      <rgbColor rgb="FF991B1B"/>
      <rgbColor rgb="FF993366"/>
      <rgbColor rgb="FF1E40AF"/>
      <rgbColor rgb="FF4755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Housing_Permits_Master_Tbl" displayName="Housing_Permits_Master_Tbl" ref="B8:Q28" headerRowCount="1" totalsRowCount="0" totalsRowShown="0">
  <autoFilter ref="B8:Q28"/>
  <tableColumns count="16">
    <tableColumn id="1" name="Record_ID"/>
    <tableColumn id="2" name="Reporting_Year"/>
    <tableColumn id="3" name="Jurisdiction"/>
    <tableColumn id="4" name="UGA_Type"/>
    <tableColumn id="5" name="Single_Family_Units"/>
    <tableColumn id="6" name="Duplex_Units"/>
    <tableColumn id="7" name="MultiFamily_3_4_Units"/>
    <tableColumn id="8" name="MultiFamily_5_Plus_Units"/>
    <tableColumn id="9" name="ADU_Units"/>
    <tableColumn id="10" name="Mobile_Home_Units"/>
    <tableColumn id="11" name="Total_Permitted_Units"/>
    <tableColumn id="12" name="Completed_Units"/>
    <tableColumn id="13" name="Demolished_Units"/>
    <tableColumn id="14" name="Net_New_Units"/>
    <tableColumn id="15" name="Total_Valuation_USD"/>
    <tableColumn id="16" name="Data_Source_Referenc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32"/>
    <col collapsed="false" customWidth="true" hidden="false" outlineLevel="0" max="4" min="4" style="0" width="75"/>
  </cols>
  <sheetData>
    <row r="2" customFormat="false" ht="22.5" hidden="false" customHeight="true" outlineLevel="0" collapsed="false">
      <c r="B2" s="1" t="s">
        <v>0</v>
      </c>
    </row>
    <row r="3" customFormat="false" ht="16.5" hidden="false" customHeight="true" outlineLevel="0" collapsed="false">
      <c r="B3" s="2" t="s">
        <v>1</v>
      </c>
    </row>
    <row r="4" customFormat="false" ht="15" hidden="false" customHeight="true" outlineLevel="0" collapsed="false">
      <c r="B4" s="3" t="s">
        <v>2</v>
      </c>
    </row>
    <row r="6" customFormat="false" ht="16.5" hidden="false" customHeight="true" outlineLevel="0" collapsed="false">
      <c r="B6" s="4" t="s">
        <v>3</v>
      </c>
      <c r="C6" s="4"/>
      <c r="D6" s="4"/>
      <c r="E6" s="4"/>
      <c r="F6" s="4"/>
      <c r="G6" s="4"/>
      <c r="H6" s="4"/>
    </row>
    <row r="7" customFormat="false" ht="27.75" hidden="false" customHeight="true" outlineLevel="0" collapsed="false">
      <c r="B7" s="5" t="s">
        <v>4</v>
      </c>
      <c r="C7" s="6" t="s">
        <v>5</v>
      </c>
      <c r="D7" s="7" t="s">
        <v>6</v>
      </c>
      <c r="E7" s="7"/>
      <c r="F7" s="7"/>
      <c r="G7" s="7"/>
      <c r="H7" s="7"/>
    </row>
    <row r="8" customFormat="false" ht="27.75" hidden="false" customHeight="true" outlineLevel="0" collapsed="false">
      <c r="B8" s="5" t="s">
        <v>7</v>
      </c>
      <c r="C8" s="6" t="s">
        <v>8</v>
      </c>
      <c r="D8" s="7" t="s">
        <v>9</v>
      </c>
      <c r="E8" s="7"/>
      <c r="F8" s="7"/>
      <c r="G8" s="7"/>
      <c r="H8" s="7"/>
    </row>
    <row r="9" customFormat="false" ht="27.75" hidden="false" customHeight="true" outlineLevel="0" collapsed="false">
      <c r="B9" s="5" t="s">
        <v>10</v>
      </c>
      <c r="C9" s="6" t="s">
        <v>11</v>
      </c>
      <c r="D9" s="7" t="s">
        <v>12</v>
      </c>
      <c r="E9" s="7"/>
      <c r="F9" s="7"/>
      <c r="G9" s="7"/>
      <c r="H9" s="7"/>
    </row>
    <row r="10" customFormat="false" ht="27.75" hidden="false" customHeight="true" outlineLevel="0" collapsed="false">
      <c r="B10" s="5" t="s">
        <v>13</v>
      </c>
      <c r="C10" s="6" t="s">
        <v>14</v>
      </c>
      <c r="D10" s="7" t="s">
        <v>15</v>
      </c>
      <c r="E10" s="7"/>
      <c r="F10" s="7"/>
      <c r="G10" s="7"/>
      <c r="H10" s="7"/>
    </row>
    <row r="11" customFormat="false" ht="27.75" hidden="false" customHeight="true" outlineLevel="0" collapsed="false">
      <c r="B11" s="5" t="s">
        <v>16</v>
      </c>
      <c r="C11" s="6" t="s">
        <v>17</v>
      </c>
      <c r="D11" s="7" t="s">
        <v>18</v>
      </c>
      <c r="E11" s="7"/>
      <c r="F11" s="7"/>
      <c r="G11" s="7"/>
      <c r="H11" s="7"/>
    </row>
  </sheetData>
  <mergeCells count="6">
    <mergeCell ref="B6:H6"/>
    <mergeCell ref="D7:H7"/>
    <mergeCell ref="D8:H8"/>
    <mergeCell ref="D9:H9"/>
    <mergeCell ref="D10:H10"/>
    <mergeCell ref="D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2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16"/>
    <col collapsed="false" customWidth="true" hidden="false" outlineLevel="0" max="4" min="4" style="0" width="28"/>
    <col collapsed="false" customWidth="true" hidden="false" outlineLevel="0" max="5" min="5" style="0" width="26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9" min="8" style="0" width="22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2" min="12" style="0" width="22"/>
    <col collapsed="false" customWidth="true" hidden="false" outlineLevel="0" max="14" min="13" style="0" width="16"/>
    <col collapsed="false" customWidth="true" hidden="false" outlineLevel="0" max="15" min="15" style="0" width="18"/>
    <col collapsed="false" customWidth="true" hidden="false" outlineLevel="0" max="16" min="16" style="0" width="22"/>
    <col collapsed="false" customWidth="true" hidden="false" outlineLevel="0" max="17" min="17" style="0" width="35"/>
  </cols>
  <sheetData>
    <row r="2" customFormat="false" ht="22.5" hidden="false" customHeight="true" outlineLevel="0" collapsed="false">
      <c r="B2" s="1" t="s">
        <v>19</v>
      </c>
    </row>
    <row r="3" customFormat="false" ht="16.5" hidden="false" customHeight="true" outlineLevel="0" collapsed="false">
      <c r="B3" s="2" t="s">
        <v>20</v>
      </c>
    </row>
    <row r="5" customFormat="false" ht="37.5" hidden="false" customHeight="true" outlineLevel="0" collapsed="false">
      <c r="B5" s="8" t="str">
        <f aca="false">IF(_xlfn.TEXTJOIN("|",TRUE(),B8:Q8)=Ref_Lookup!$D$2, "✔ SCHEMA VALID: Columns Match Official Specification", "❌ SCHEMA ERROR: Column(s) altered: " &amp; _xlfn.TEXTJOIN(", ", TRUE(), IF(ISBLANK(B8), "'" &amp; Ref_Lookup!$C$2 &amp; "' [blank]", IF(B8&lt;&gt;Ref_Lookup!$C$2, "'" &amp; Ref_Lookup!$C$2 &amp; "' [found: '" &amp; B8 &amp; "']", "")), IF(ISBLANK(C8), "'" &amp; Ref_Lookup!$C$3 &amp; "' [blank]", IF(C8&lt;&gt;Ref_Lookup!$C$3, "'" &amp; Ref_Lookup!$C$3 &amp; "' [found: '" &amp; C8 &amp; "']", "")), IF(ISBLANK(D8), "'" &amp; Ref_Lookup!$C$4 &amp; "' [blank]", IF(D8&lt;&gt;Ref_Lookup!$C$4, "'" &amp; Ref_Lookup!$C$4 &amp; "' [found: '" &amp; D8 &amp; "']", "")), IF(ISBLANK(E8), "'" &amp; Ref_Lookup!$C$5 &amp; "' [blank]", IF(E8&lt;&gt;Ref_Lookup!$C$5, "'" &amp; Ref_Lookup!$C$5 &amp; "' [found: '" &amp; E8 &amp; "']", "")), IF(ISBLANK(F8), "'" &amp; Ref_Lookup!$C$6 &amp; "' [blank]", IF(F8&lt;&gt;Ref_Lookup!$C$6, "'" &amp; Ref_Lookup!$C$6 &amp; "' [found: '" &amp; F8 &amp; "']", "")), IF(ISBLANK(G8), "'" &amp; Ref_Lookup!$C$7 &amp; "' [blank]", IF(G8&lt;&gt;Ref_Lookup!$C$7, "'" &amp; Ref_Lookup!$C$7 &amp; "' [found: '" &amp; G8 &amp; "']", "")), IF(ISBLANK(H8), "'" &amp; Ref_Lookup!$C$8 &amp; "' [blank]", IF(H8&lt;&gt;Ref_Lookup!$C$8, "'" &amp; Ref_Lookup!$C$8 &amp; "' [found: '" &amp; H8 &amp; "']", "")), IF(ISBLANK(I8), "'" &amp; Ref_Lookup!$C$9 &amp; "' [blank]", IF(I8&lt;&gt;Ref_Lookup!$C$9, "'" &amp; Ref_Lookup!$C$9 &amp; "' [found: '" &amp; I8 &amp; "']", "")), IF(ISBLANK(J8), "'" &amp; Ref_Lookup!$C$10 &amp; "' [blank]", IF(J8&lt;&gt;Ref_Lookup!$C$10, "'" &amp; Ref_Lookup!$C$10 &amp; "' [found: '" &amp; J8 &amp; "']", "")), IF(ISBLANK(K8), "'" &amp; Ref_Lookup!$C$11 &amp; "' [blank]", IF(K8&lt;&gt;Ref_Lookup!$C$11, "'" &amp; Ref_Lookup!$C$11 &amp; "' [found: '" &amp; K8 &amp; "']", "")), IF(ISBLANK(L8), "'" &amp; Ref_Lookup!$C$12 &amp; "' [blank]", IF(L8&lt;&gt;Ref_Lookup!$C$12, "'" &amp; Ref_Lookup!$C$12 &amp; "' [found: '" &amp; L8 &amp; "']", "")), IF(ISBLANK(M8), "'" &amp; Ref_Lookup!$C$13 &amp; "' [blank]", IF(M8&lt;&gt;Ref_Lookup!$C$13, "'" &amp; Ref_Lookup!$C$13 &amp; "' [found: '" &amp; M8 &amp; "']", "")), IF(ISBLANK(N8), "'" &amp; Ref_Lookup!$C$14 &amp; "' [blank]", IF(N8&lt;&gt;Ref_Lookup!$C$14, "'" &amp; Ref_Lookup!$C$14 &amp; "' [found: '" &amp; N8 &amp; "']", "")), IF(ISBLANK(O8), "'" &amp; Ref_Lookup!$C$15 &amp; "' [blank]", IF(O8&lt;&gt;Ref_Lookup!$C$15, "'" &amp; Ref_Lookup!$C$15 &amp; "' [found: '" &amp; O8 &amp; "']", "")), IF(ISBLANK(P8), "'" &amp; Ref_Lookup!$C$16 &amp; "' [blank]", IF(P8&lt;&gt;Ref_Lookup!$C$16, "'" &amp; Ref_Lookup!$C$16 &amp; "' [found: '" &amp; P8 &amp; "']", "")), IF(ISBLANK(Q8), "'" &amp; Ref_Lookup!$C$17 &amp; "' [blank]", IF(Q8&lt;&gt;Ref_Lookup!$C$17, "'" &amp; Ref_Lookup!$C$17 &amp; "' [found: '" &amp; Q8 &amp; "']", ""))))</f>
        <v>✔ SCHEMA VALID: Columns Match Official Specification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customFormat="false" ht="24" hidden="false" customHeight="true" outlineLevel="0" collapsed="false">
      <c r="B6" s="9" t="str">
        <f aca="false">IF(SUMIFS(O9:O1000,C9:C1000,"&lt;=2024")&gt;=0,"✔ BASELINE INTEGRITY: Historical Control Totals Intact","⚠ INTEGRITY WARNING: Historical records modified!")</f>
        <v>✔ BASELINE INTEGRITY: Historical Control Totals Intact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customFormat="false" ht="9.75" hidden="false" customHeight="true" outlineLevel="0" collapsed="false"/>
    <row r="8" customFormat="false" ht="27.75" hidden="false" customHeight="true" outlineLevel="0" collapsed="false">
      <c r="B8" s="10" t="s">
        <v>21</v>
      </c>
      <c r="C8" s="10" t="s">
        <v>22</v>
      </c>
      <c r="D8" s="10" t="s">
        <v>23</v>
      </c>
      <c r="E8" s="10" t="s">
        <v>24</v>
      </c>
      <c r="F8" s="10" t="s">
        <v>25</v>
      </c>
      <c r="G8" s="10" t="s">
        <v>26</v>
      </c>
      <c r="H8" s="10" t="s">
        <v>27</v>
      </c>
      <c r="I8" s="10" t="s">
        <v>28</v>
      </c>
      <c r="J8" s="10" t="s">
        <v>29</v>
      </c>
      <c r="K8" s="10" t="s">
        <v>30</v>
      </c>
      <c r="L8" s="10" t="s">
        <v>31</v>
      </c>
      <c r="M8" s="10" t="s">
        <v>32</v>
      </c>
      <c r="N8" s="10" t="s">
        <v>33</v>
      </c>
      <c r="O8" s="10" t="s">
        <v>34</v>
      </c>
      <c r="P8" s="10" t="s">
        <v>35</v>
      </c>
      <c r="Q8" s="10" t="s">
        <v>36</v>
      </c>
    </row>
    <row r="9" customFormat="false" ht="21" hidden="false" customHeight="true" outlineLevel="0" collapsed="false">
      <c r="B9" s="11" t="s">
        <v>37</v>
      </c>
      <c r="C9" s="12" t="n">
        <v>2024</v>
      </c>
      <c r="D9" s="13" t="s">
        <v>38</v>
      </c>
      <c r="E9" s="13" t="s">
        <v>39</v>
      </c>
      <c r="F9" s="14" t="n">
        <v>25</v>
      </c>
      <c r="G9" s="14" t="n">
        <v>0</v>
      </c>
      <c r="H9" s="14" t="n">
        <v>0</v>
      </c>
      <c r="I9" s="14" t="n">
        <v>38</v>
      </c>
      <c r="J9" s="14" t="n">
        <v>11</v>
      </c>
      <c r="K9" s="14" t="n">
        <v>0</v>
      </c>
      <c r="L9" s="15" t="n">
        <f aca="false">SUM(F9:K9)</f>
        <v>74</v>
      </c>
      <c r="M9" s="14" t="n">
        <v>190</v>
      </c>
      <c r="N9" s="14" t="n">
        <v>2</v>
      </c>
      <c r="O9" s="15" t="n">
        <f aca="false">L9-N9</f>
        <v>72</v>
      </c>
      <c r="P9" s="16"/>
      <c r="Q9" s="17" t="s">
        <v>40</v>
      </c>
    </row>
    <row r="10" customFormat="false" ht="21" hidden="false" customHeight="true" outlineLevel="0" collapsed="false">
      <c r="B10" s="18" t="s">
        <v>41</v>
      </c>
      <c r="C10" s="19" t="n">
        <v>2024</v>
      </c>
      <c r="D10" s="20" t="s">
        <v>42</v>
      </c>
      <c r="E10" s="20" t="s">
        <v>39</v>
      </c>
      <c r="F10" s="21" t="n">
        <v>4</v>
      </c>
      <c r="G10" s="21" t="n">
        <v>4</v>
      </c>
      <c r="H10" s="21" t="n">
        <v>0</v>
      </c>
      <c r="I10" s="21" t="n">
        <v>202</v>
      </c>
      <c r="J10" s="21" t="n">
        <v>3</v>
      </c>
      <c r="K10" s="21" t="n">
        <v>0</v>
      </c>
      <c r="L10" s="15" t="n">
        <f aca="false">SUM(F10:K10)</f>
        <v>213</v>
      </c>
      <c r="M10" s="21" t="n">
        <v>263</v>
      </c>
      <c r="N10" s="21" t="n">
        <v>2</v>
      </c>
      <c r="O10" s="15" t="n">
        <f aca="false">L10-N10</f>
        <v>211</v>
      </c>
      <c r="P10" s="22"/>
      <c r="Q10" s="23" t="s">
        <v>40</v>
      </c>
    </row>
    <row r="11" customFormat="false" ht="21" hidden="false" customHeight="true" outlineLevel="0" collapsed="false">
      <c r="B11" s="11" t="s">
        <v>43</v>
      </c>
      <c r="C11" s="12" t="n">
        <v>2024</v>
      </c>
      <c r="D11" s="13" t="s">
        <v>44</v>
      </c>
      <c r="E11" s="13" t="s">
        <v>39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5" t="n">
        <f aca="false">SUM(F11:K11)</f>
        <v>0</v>
      </c>
      <c r="M11" s="14" t="n">
        <v>1</v>
      </c>
      <c r="N11" s="14" t="n">
        <v>0</v>
      </c>
      <c r="O11" s="15" t="n">
        <f aca="false">L11-N11</f>
        <v>0</v>
      </c>
      <c r="P11" s="16"/>
      <c r="Q11" s="17" t="s">
        <v>40</v>
      </c>
    </row>
    <row r="12" customFormat="false" ht="21" hidden="false" customHeight="true" outlineLevel="0" collapsed="false">
      <c r="B12" s="18" t="s">
        <v>45</v>
      </c>
      <c r="C12" s="19" t="n">
        <v>2024</v>
      </c>
      <c r="D12" s="20" t="s">
        <v>46</v>
      </c>
      <c r="E12" s="20" t="s">
        <v>39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15" t="n">
        <f aca="false">SUM(F12:K12)</f>
        <v>0</v>
      </c>
      <c r="M12" s="21" t="n">
        <v>0</v>
      </c>
      <c r="N12" s="21" t="n">
        <v>0</v>
      </c>
      <c r="O12" s="15" t="n">
        <f aca="false">L12-N12</f>
        <v>0</v>
      </c>
      <c r="P12" s="22"/>
      <c r="Q12" s="23" t="s">
        <v>40</v>
      </c>
    </row>
    <row r="13" customFormat="false" ht="21" hidden="false" customHeight="true" outlineLevel="0" collapsed="false">
      <c r="B13" s="11" t="s">
        <v>47</v>
      </c>
      <c r="C13" s="12" t="n">
        <v>2024</v>
      </c>
      <c r="D13" s="13" t="s">
        <v>48</v>
      </c>
      <c r="E13" s="13" t="s">
        <v>39</v>
      </c>
      <c r="F13" s="14" t="n">
        <v>0</v>
      </c>
      <c r="G13" s="14" t="n">
        <v>0</v>
      </c>
      <c r="H13" s="14" t="n">
        <v>6</v>
      </c>
      <c r="I13" s="14" t="n">
        <v>0</v>
      </c>
      <c r="J13" s="14" t="n">
        <v>0</v>
      </c>
      <c r="K13" s="14" t="n">
        <v>0</v>
      </c>
      <c r="L13" s="15" t="n">
        <f aca="false">SUM(F13:K13)</f>
        <v>6</v>
      </c>
      <c r="M13" s="14" t="n">
        <v>7</v>
      </c>
      <c r="N13" s="14" t="n">
        <v>0</v>
      </c>
      <c r="O13" s="15" t="n">
        <f aca="false">L13-N13</f>
        <v>6</v>
      </c>
      <c r="P13" s="16"/>
      <c r="Q13" s="17" t="s">
        <v>40</v>
      </c>
    </row>
    <row r="14" customFormat="false" ht="21" hidden="false" customHeight="true" outlineLevel="0" collapsed="false">
      <c r="B14" s="18" t="s">
        <v>49</v>
      </c>
      <c r="C14" s="19" t="n">
        <v>2024</v>
      </c>
      <c r="D14" s="20" t="s">
        <v>50</v>
      </c>
      <c r="E14" s="20" t="s">
        <v>39</v>
      </c>
      <c r="F14" s="21" t="n">
        <v>1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15" t="n">
        <f aca="false">SUM(F14:K14)</f>
        <v>1</v>
      </c>
      <c r="M14" s="21" t="n">
        <v>1</v>
      </c>
      <c r="N14" s="21" t="n">
        <v>0</v>
      </c>
      <c r="O14" s="15" t="n">
        <f aca="false">L14-N14</f>
        <v>1</v>
      </c>
      <c r="P14" s="22"/>
      <c r="Q14" s="23" t="s">
        <v>40</v>
      </c>
    </row>
    <row r="15" customFormat="false" ht="21" hidden="false" customHeight="true" outlineLevel="0" collapsed="false">
      <c r="B15" s="11" t="s">
        <v>51</v>
      </c>
      <c r="C15" s="12" t="n">
        <v>2024</v>
      </c>
      <c r="D15" s="13" t="s">
        <v>52</v>
      </c>
      <c r="E15" s="13" t="s">
        <v>39</v>
      </c>
      <c r="F15" s="14" t="n">
        <v>16</v>
      </c>
      <c r="G15" s="14" t="n">
        <v>2</v>
      </c>
      <c r="H15" s="14" t="n">
        <v>23</v>
      </c>
      <c r="I15" s="14" t="n">
        <v>50</v>
      </c>
      <c r="J15" s="14" t="n">
        <v>4</v>
      </c>
      <c r="K15" s="14" t="n">
        <v>0</v>
      </c>
      <c r="L15" s="15" t="n">
        <f aca="false">SUM(F15:K15)</f>
        <v>95</v>
      </c>
      <c r="M15" s="14" t="n">
        <v>114</v>
      </c>
      <c r="N15" s="14" t="n">
        <v>1</v>
      </c>
      <c r="O15" s="15" t="n">
        <f aca="false">L15-N15</f>
        <v>94</v>
      </c>
      <c r="P15" s="16"/>
      <c r="Q15" s="17" t="s">
        <v>40</v>
      </c>
    </row>
    <row r="16" customFormat="false" ht="21" hidden="false" customHeight="true" outlineLevel="0" collapsed="false">
      <c r="B16" s="18" t="s">
        <v>53</v>
      </c>
      <c r="C16" s="19" t="n">
        <v>2024</v>
      </c>
      <c r="D16" s="20" t="s">
        <v>54</v>
      </c>
      <c r="E16" s="20" t="s">
        <v>39</v>
      </c>
      <c r="F16" s="21" t="n">
        <v>30</v>
      </c>
      <c r="G16" s="21" t="n">
        <v>6</v>
      </c>
      <c r="H16" s="21" t="n">
        <v>7</v>
      </c>
      <c r="I16" s="21" t="n">
        <v>87</v>
      </c>
      <c r="J16" s="21" t="n">
        <v>2</v>
      </c>
      <c r="K16" s="21" t="n">
        <v>0</v>
      </c>
      <c r="L16" s="15" t="n">
        <f aca="false">SUM(F16:K16)</f>
        <v>132</v>
      </c>
      <c r="M16" s="21" t="n">
        <v>74</v>
      </c>
      <c r="N16" s="21" t="n">
        <v>2</v>
      </c>
      <c r="O16" s="15" t="n">
        <f aca="false">L16-N16</f>
        <v>130</v>
      </c>
      <c r="P16" s="22"/>
      <c r="Q16" s="23" t="s">
        <v>40</v>
      </c>
    </row>
    <row r="17" customFormat="false" ht="21" hidden="false" customHeight="true" outlineLevel="0" collapsed="false">
      <c r="B17" s="11" t="s">
        <v>55</v>
      </c>
      <c r="C17" s="12" t="n">
        <v>2024</v>
      </c>
      <c r="D17" s="13" t="s">
        <v>56</v>
      </c>
      <c r="E17" s="13" t="s">
        <v>57</v>
      </c>
      <c r="F17" s="14" t="n">
        <v>78</v>
      </c>
      <c r="G17" s="14" t="n">
        <v>0</v>
      </c>
      <c r="H17" s="14" t="n">
        <v>0</v>
      </c>
      <c r="I17" s="14" t="n">
        <v>0</v>
      </c>
      <c r="J17" s="14" t="n">
        <v>34</v>
      </c>
      <c r="K17" s="14" t="n">
        <v>0</v>
      </c>
      <c r="L17" s="15" t="n">
        <f aca="false">SUM(F17:K17)</f>
        <v>112</v>
      </c>
      <c r="M17" s="14" t="n">
        <v>101</v>
      </c>
      <c r="N17" s="14" t="n">
        <v>14</v>
      </c>
      <c r="O17" s="15" t="n">
        <f aca="false">L17-N17</f>
        <v>98</v>
      </c>
      <c r="P17" s="16"/>
      <c r="Q17" s="17" t="s">
        <v>40</v>
      </c>
    </row>
    <row r="18" customFormat="false" ht="21" hidden="false" customHeight="true" outlineLevel="0" collapsed="false">
      <c r="B18" s="18" t="s">
        <v>58</v>
      </c>
      <c r="C18" s="19" t="n">
        <v>2025</v>
      </c>
      <c r="D18" s="20" t="s">
        <v>38</v>
      </c>
      <c r="E18" s="20" t="s">
        <v>39</v>
      </c>
      <c r="F18" s="21" t="n">
        <v>19</v>
      </c>
      <c r="G18" s="21" t="n">
        <v>2</v>
      </c>
      <c r="H18" s="21" t="n">
        <v>0</v>
      </c>
      <c r="I18" s="21" t="n">
        <v>0</v>
      </c>
      <c r="J18" s="21" t="n">
        <v>10</v>
      </c>
      <c r="K18" s="21" t="n">
        <v>0</v>
      </c>
      <c r="L18" s="15" t="n">
        <f aca="false">SUM(F18:K18)</f>
        <v>31</v>
      </c>
      <c r="M18" s="21" t="n">
        <v>50</v>
      </c>
      <c r="N18" s="21" t="n">
        <v>7</v>
      </c>
      <c r="O18" s="15" t="n">
        <f aca="false">L18-N18</f>
        <v>24</v>
      </c>
      <c r="P18" s="22"/>
      <c r="Q18" s="23" t="s">
        <v>59</v>
      </c>
    </row>
    <row r="19" customFormat="false" ht="21" hidden="false" customHeight="true" outlineLevel="0" collapsed="false">
      <c r="B19" s="11" t="s">
        <v>60</v>
      </c>
      <c r="C19" s="12" t="n">
        <v>2025</v>
      </c>
      <c r="D19" s="13" t="s">
        <v>42</v>
      </c>
      <c r="E19" s="13" t="s">
        <v>39</v>
      </c>
      <c r="F19" s="14" t="n">
        <v>4</v>
      </c>
      <c r="G19" s="14" t="n">
        <v>0</v>
      </c>
      <c r="H19" s="14" t="n">
        <v>0</v>
      </c>
      <c r="I19" s="14" t="n">
        <v>211</v>
      </c>
      <c r="J19" s="14" t="n">
        <v>2</v>
      </c>
      <c r="K19" s="14" t="n">
        <v>0</v>
      </c>
      <c r="L19" s="15" t="n">
        <f aca="false">SUM(F19:K19)</f>
        <v>217</v>
      </c>
      <c r="M19" s="14" t="n">
        <v>259</v>
      </c>
      <c r="N19" s="14" t="n">
        <v>9</v>
      </c>
      <c r="O19" s="15" t="n">
        <f aca="false">L19-N19</f>
        <v>208</v>
      </c>
      <c r="P19" s="16"/>
      <c r="Q19" s="17" t="s">
        <v>59</v>
      </c>
    </row>
    <row r="20" customFormat="false" ht="21" hidden="false" customHeight="true" outlineLevel="0" collapsed="false">
      <c r="B20" s="18" t="s">
        <v>61</v>
      </c>
      <c r="C20" s="19" t="n">
        <v>2025</v>
      </c>
      <c r="D20" s="20" t="s">
        <v>44</v>
      </c>
      <c r="E20" s="20" t="s">
        <v>39</v>
      </c>
      <c r="F20" s="21" t="n">
        <v>1</v>
      </c>
      <c r="G20" s="21" t="n">
        <v>0</v>
      </c>
      <c r="H20" s="21" t="n">
        <v>0</v>
      </c>
      <c r="I20" s="21" t="n">
        <v>21</v>
      </c>
      <c r="J20" s="21" t="n">
        <v>0</v>
      </c>
      <c r="K20" s="21" t="n">
        <v>0</v>
      </c>
      <c r="L20" s="15" t="n">
        <f aca="false">SUM(F20:K20)</f>
        <v>22</v>
      </c>
      <c r="M20" s="21" t="n">
        <v>1</v>
      </c>
      <c r="N20" s="21" t="n">
        <v>0</v>
      </c>
      <c r="O20" s="15" t="n">
        <f aca="false">L20-N20</f>
        <v>22</v>
      </c>
      <c r="P20" s="22"/>
      <c r="Q20" s="23" t="s">
        <v>59</v>
      </c>
    </row>
    <row r="21" customFormat="false" ht="14.25" hidden="false" customHeight="false" outlineLevel="0" collapsed="false">
      <c r="B21" s="24" t="s">
        <v>62</v>
      </c>
      <c r="C21" s="24" t="n">
        <v>2025</v>
      </c>
      <c r="D21" s="24" t="s">
        <v>46</v>
      </c>
      <c r="E21" s="24" t="s">
        <v>39</v>
      </c>
      <c r="F21" s="25" t="n">
        <v>0</v>
      </c>
      <c r="G21" s="25" t="n">
        <v>0</v>
      </c>
      <c r="H21" s="25" t="n">
        <v>0</v>
      </c>
      <c r="I21" s="25" t="n">
        <v>0</v>
      </c>
      <c r="J21" s="25" t="n">
        <v>0</v>
      </c>
      <c r="K21" s="25" t="n">
        <v>0</v>
      </c>
      <c r="L21" s="26" t="n">
        <f aca="false">SUM(F21:K21)</f>
        <v>0</v>
      </c>
      <c r="M21" s="25" t="n">
        <v>0</v>
      </c>
      <c r="N21" s="25" t="n">
        <v>0</v>
      </c>
      <c r="O21" s="26" t="n">
        <f aca="false">L21-N21</f>
        <v>0</v>
      </c>
      <c r="P21" s="27"/>
      <c r="Q21" s="24" t="s">
        <v>59</v>
      </c>
    </row>
    <row r="22" customFormat="false" ht="14.25" hidden="false" customHeight="false" outlineLevel="0" collapsed="false">
      <c r="B22" s="24" t="s">
        <v>63</v>
      </c>
      <c r="C22" s="24" t="n">
        <v>2025</v>
      </c>
      <c r="D22" s="24" t="s">
        <v>48</v>
      </c>
      <c r="E22" s="24" t="s">
        <v>39</v>
      </c>
      <c r="F22" s="25" t="n">
        <v>2</v>
      </c>
      <c r="G22" s="25" t="n">
        <v>0</v>
      </c>
      <c r="H22" s="25" t="n">
        <v>0</v>
      </c>
      <c r="I22" s="25" t="n">
        <v>0</v>
      </c>
      <c r="J22" s="25" t="n">
        <v>1</v>
      </c>
      <c r="K22" s="25" t="n">
        <v>0</v>
      </c>
      <c r="L22" s="26" t="n">
        <f aca="false">SUM(F22:K22)</f>
        <v>3</v>
      </c>
      <c r="M22" s="25" t="n">
        <v>0</v>
      </c>
      <c r="N22" s="25" t="n">
        <v>0</v>
      </c>
      <c r="O22" s="26" t="n">
        <f aca="false">L22-N22</f>
        <v>3</v>
      </c>
      <c r="P22" s="27"/>
      <c r="Q22" s="24" t="s">
        <v>59</v>
      </c>
    </row>
    <row r="23" customFormat="false" ht="14.25" hidden="false" customHeight="false" outlineLevel="0" collapsed="false">
      <c r="B23" s="24" t="s">
        <v>64</v>
      </c>
      <c r="C23" s="24" t="n">
        <v>2025</v>
      </c>
      <c r="D23" s="24" t="s">
        <v>50</v>
      </c>
      <c r="E23" s="24" t="s">
        <v>39</v>
      </c>
      <c r="F23" s="25" t="n">
        <v>3</v>
      </c>
      <c r="G23" s="25" t="n">
        <v>0</v>
      </c>
      <c r="H23" s="25" t="n">
        <v>0</v>
      </c>
      <c r="I23" s="25" t="n">
        <v>0</v>
      </c>
      <c r="J23" s="25" t="n">
        <v>0</v>
      </c>
      <c r="K23" s="25" t="n">
        <v>0</v>
      </c>
      <c r="L23" s="26" t="n">
        <f aca="false">SUM(F23:K23)</f>
        <v>3</v>
      </c>
      <c r="M23" s="25" t="n">
        <v>4</v>
      </c>
      <c r="N23" s="25" t="n">
        <v>0</v>
      </c>
      <c r="O23" s="26" t="n">
        <f aca="false">L23-N23</f>
        <v>3</v>
      </c>
      <c r="P23" s="27"/>
      <c r="Q23" s="24" t="s">
        <v>59</v>
      </c>
    </row>
    <row r="24" customFormat="false" ht="14.25" hidden="false" customHeight="false" outlineLevel="0" collapsed="false">
      <c r="B24" s="24" t="s">
        <v>65</v>
      </c>
      <c r="C24" s="24" t="n">
        <v>2025</v>
      </c>
      <c r="D24" s="24" t="s">
        <v>52</v>
      </c>
      <c r="E24" s="24" t="s">
        <v>39</v>
      </c>
      <c r="F24" s="25" t="n">
        <v>17</v>
      </c>
      <c r="G24" s="25" t="n">
        <v>3</v>
      </c>
      <c r="H24" s="25" t="n">
        <v>0</v>
      </c>
      <c r="I24" s="25" t="n">
        <v>0</v>
      </c>
      <c r="J24" s="25" t="n">
        <v>3</v>
      </c>
      <c r="K24" s="25" t="n">
        <v>0</v>
      </c>
      <c r="L24" s="26" t="n">
        <f aca="false">SUM(F24:K24)</f>
        <v>23</v>
      </c>
      <c r="M24" s="25" t="n">
        <v>86</v>
      </c>
      <c r="N24" s="25" t="n">
        <v>6</v>
      </c>
      <c r="O24" s="26" t="n">
        <f aca="false">L24-N24</f>
        <v>17</v>
      </c>
      <c r="P24" s="27"/>
      <c r="Q24" s="24" t="s">
        <v>59</v>
      </c>
    </row>
    <row r="25" customFormat="false" ht="14.25" hidden="false" customHeight="false" outlineLevel="0" collapsed="false">
      <c r="B25" s="24" t="s">
        <v>66</v>
      </c>
      <c r="C25" s="24" t="n">
        <v>2025</v>
      </c>
      <c r="D25" s="24" t="s">
        <v>54</v>
      </c>
      <c r="E25" s="24" t="s">
        <v>39</v>
      </c>
      <c r="F25" s="25" t="n">
        <v>35</v>
      </c>
      <c r="G25" s="25" t="n">
        <v>0</v>
      </c>
      <c r="H25" s="25" t="n">
        <v>3</v>
      </c>
      <c r="I25" s="25" t="n">
        <v>15</v>
      </c>
      <c r="J25" s="25" t="n">
        <v>3</v>
      </c>
      <c r="K25" s="25" t="n">
        <v>0</v>
      </c>
      <c r="L25" s="26" t="n">
        <f aca="false">SUM(F25:K25)</f>
        <v>56</v>
      </c>
      <c r="M25" s="25" t="n">
        <v>57</v>
      </c>
      <c r="N25" s="25" t="n">
        <v>2</v>
      </c>
      <c r="O25" s="26" t="n">
        <f aca="false">L25-N25</f>
        <v>54</v>
      </c>
      <c r="P25" s="27"/>
      <c r="Q25" s="24" t="s">
        <v>59</v>
      </c>
    </row>
    <row r="26" customFormat="false" ht="14.25" hidden="false" customHeight="false" outlineLevel="0" collapsed="false">
      <c r="B26" s="24" t="s">
        <v>67</v>
      </c>
      <c r="C26" s="24" t="n">
        <v>2025</v>
      </c>
      <c r="D26" s="24" t="s">
        <v>56</v>
      </c>
      <c r="E26" s="24" t="s">
        <v>57</v>
      </c>
      <c r="F26" s="25" t="n">
        <v>109</v>
      </c>
      <c r="G26" s="25" t="n">
        <v>4</v>
      </c>
      <c r="H26" s="25" t="n">
        <v>0</v>
      </c>
      <c r="I26" s="25" t="n">
        <v>0</v>
      </c>
      <c r="J26" s="25" t="n">
        <v>37</v>
      </c>
      <c r="K26" s="25" t="n">
        <v>0</v>
      </c>
      <c r="L26" s="26" t="n">
        <f aca="false">SUM(F26:K26)</f>
        <v>150</v>
      </c>
      <c r="M26" s="25" t="n">
        <v>109</v>
      </c>
      <c r="N26" s="25" t="n">
        <v>3</v>
      </c>
      <c r="O26" s="26" t="n">
        <f aca="false">L26-N26</f>
        <v>147</v>
      </c>
      <c r="P26" s="27"/>
      <c r="Q26" s="24" t="s">
        <v>59</v>
      </c>
    </row>
    <row r="27" customFormat="false" ht="14.25" hidden="false" customHeight="false" outlineLevel="0" collapsed="false">
      <c r="B27" s="24" t="s">
        <v>68</v>
      </c>
      <c r="C27" s="24" t="n">
        <v>2025</v>
      </c>
      <c r="D27" s="24" t="s">
        <v>69</v>
      </c>
      <c r="E27" s="24" t="s">
        <v>70</v>
      </c>
      <c r="F27" s="25" t="n">
        <v>12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6" t="n">
        <f aca="false">SUM(F27:K27)</f>
        <v>12</v>
      </c>
      <c r="M27" s="25" t="n">
        <v>12</v>
      </c>
      <c r="N27" s="25" t="n">
        <v>0</v>
      </c>
      <c r="O27" s="26" t="n">
        <f aca="false">L27-N27</f>
        <v>12</v>
      </c>
      <c r="P27" s="27" t="n">
        <v>4343012.17</v>
      </c>
      <c r="Q27" s="24" t="s">
        <v>71</v>
      </c>
    </row>
    <row r="28" customFormat="false" ht="14.25" hidden="false" customHeight="false" outlineLevel="0" collapsed="false">
      <c r="B28" s="24" t="s">
        <v>72</v>
      </c>
      <c r="C28" s="24" t="n">
        <v>2025</v>
      </c>
      <c r="D28" s="24" t="s">
        <v>73</v>
      </c>
      <c r="E28" s="24" t="s">
        <v>70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6" t="n">
        <f aca="false">SUM(F28:K28)</f>
        <v>0</v>
      </c>
      <c r="M28" s="25" t="n">
        <v>0</v>
      </c>
      <c r="N28" s="25" t="n">
        <v>0</v>
      </c>
      <c r="O28" s="26" t="n">
        <f aca="false">L28-N28</f>
        <v>0</v>
      </c>
      <c r="P28" s="27" t="n">
        <v>32637.35</v>
      </c>
      <c r="Q28" s="24" t="s">
        <v>74</v>
      </c>
    </row>
    <row r="29" customFormat="false" ht="14.25" hidden="false" customHeight="false" outlineLevel="0" collapsed="false"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8"/>
      <c r="M29" s="24"/>
      <c r="N29" s="24"/>
      <c r="O29" s="28"/>
      <c r="P29" s="24"/>
      <c r="Q29" s="24"/>
    </row>
    <row r="30" customFormat="false" ht="14.25" hidden="false" customHeight="false" outlineLevel="0" collapsed="false"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8"/>
      <c r="M30" s="24"/>
      <c r="N30" s="24"/>
      <c r="O30" s="28"/>
      <c r="P30" s="24"/>
      <c r="Q30" s="24"/>
    </row>
    <row r="31" customFormat="false" ht="14.25" hidden="false" customHeight="false" outlineLevel="0" collapsed="false"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8"/>
      <c r="M31" s="24"/>
      <c r="N31" s="24"/>
      <c r="O31" s="28"/>
      <c r="P31" s="24"/>
      <c r="Q31" s="24"/>
    </row>
    <row r="32" customFormat="false" ht="14.25" hidden="false" customHeight="false" outlineLevel="0" collapsed="false"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8"/>
      <c r="M32" s="24"/>
      <c r="N32" s="24"/>
      <c r="O32" s="28"/>
      <c r="P32" s="24"/>
      <c r="Q32" s="24"/>
    </row>
    <row r="33" customFormat="false" ht="14.25" hidden="false" customHeight="false" outlineLevel="0" collapsed="false"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8"/>
      <c r="M33" s="24"/>
      <c r="N33" s="24"/>
      <c r="O33" s="28"/>
      <c r="P33" s="24"/>
      <c r="Q33" s="24"/>
    </row>
    <row r="34" customFormat="false" ht="14.25" hidden="false" customHeight="false" outlineLevel="0" collapsed="false"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8"/>
      <c r="M34" s="24"/>
      <c r="N34" s="24"/>
      <c r="O34" s="28"/>
      <c r="P34" s="24"/>
      <c r="Q34" s="24"/>
    </row>
    <row r="35" customFormat="false" ht="14.25" hidden="false" customHeight="false" outlineLevel="0" collapsed="false"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8"/>
      <c r="M35" s="24"/>
      <c r="N35" s="24"/>
      <c r="O35" s="28"/>
      <c r="P35" s="24"/>
      <c r="Q35" s="24"/>
    </row>
    <row r="36" customFormat="false" ht="14.25" hidden="false" customHeight="false" outlineLevel="0" collapsed="false"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8"/>
      <c r="M36" s="24"/>
      <c r="N36" s="24"/>
      <c r="O36" s="28"/>
      <c r="P36" s="24"/>
      <c r="Q36" s="24"/>
    </row>
    <row r="37" customFormat="false" ht="14.25" hidden="false" customHeight="false" outlineLevel="0" collapsed="false"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8"/>
      <c r="M37" s="24"/>
      <c r="N37" s="24"/>
      <c r="O37" s="28"/>
      <c r="P37" s="24"/>
      <c r="Q37" s="24"/>
    </row>
    <row r="38" customFormat="false" ht="14.25" hidden="false" customHeight="false" outlineLevel="0" collapsed="false"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8"/>
      <c r="M38" s="24"/>
      <c r="N38" s="24"/>
      <c r="O38" s="28"/>
      <c r="P38" s="24"/>
      <c r="Q38" s="24"/>
    </row>
    <row r="39" customFormat="false" ht="14.25" hidden="false" customHeight="false" outlineLevel="0" collapsed="false"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8"/>
      <c r="M39" s="24"/>
      <c r="N39" s="24"/>
      <c r="O39" s="28"/>
      <c r="P39" s="24"/>
      <c r="Q39" s="24"/>
    </row>
    <row r="40" customFormat="false" ht="14.25" hidden="false" customHeight="false" outlineLevel="0" collapsed="false"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8"/>
      <c r="M40" s="24"/>
      <c r="N40" s="24"/>
      <c r="O40" s="28"/>
      <c r="P40" s="24"/>
      <c r="Q40" s="24"/>
    </row>
    <row r="41" customFormat="false" ht="14.25" hidden="false" customHeight="false" outlineLevel="0" collapsed="false"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8"/>
      <c r="M41" s="24"/>
      <c r="N41" s="24"/>
      <c r="O41" s="28"/>
      <c r="P41" s="24"/>
      <c r="Q41" s="24"/>
    </row>
    <row r="42" customFormat="false" ht="14.25" hidden="false" customHeight="false" outlineLevel="0" collapsed="false"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8"/>
      <c r="M42" s="24"/>
      <c r="N42" s="24"/>
      <c r="O42" s="28"/>
      <c r="P42" s="24"/>
      <c r="Q42" s="24"/>
    </row>
    <row r="43" customFormat="false" ht="14.25" hidden="false" customHeight="false" outlineLevel="0" collapsed="false"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8"/>
      <c r="M43" s="24"/>
      <c r="N43" s="24"/>
      <c r="O43" s="28"/>
      <c r="P43" s="24"/>
      <c r="Q43" s="24"/>
    </row>
    <row r="44" customFormat="false" ht="14.25" hidden="false" customHeight="false" outlineLevel="0" collapsed="false"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8"/>
      <c r="M44" s="24"/>
      <c r="N44" s="24"/>
      <c r="O44" s="28"/>
      <c r="P44" s="24"/>
      <c r="Q44" s="24"/>
    </row>
    <row r="45" customFormat="false" ht="14.25" hidden="false" customHeight="false" outlineLevel="0" collapsed="false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8"/>
      <c r="M45" s="24"/>
      <c r="N45" s="24"/>
      <c r="O45" s="28"/>
      <c r="P45" s="24"/>
      <c r="Q45" s="24"/>
    </row>
    <row r="46" customFormat="false" ht="14.25" hidden="false" customHeight="false" outlineLevel="0" collapsed="false"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8"/>
      <c r="M46" s="24"/>
      <c r="N46" s="24"/>
      <c r="O46" s="28"/>
      <c r="P46" s="24"/>
      <c r="Q46" s="24"/>
    </row>
    <row r="47" customFormat="false" ht="14.25" hidden="false" customHeight="false" outlineLevel="0" collapsed="false"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8"/>
      <c r="M47" s="24"/>
      <c r="N47" s="24"/>
      <c r="O47" s="28"/>
      <c r="P47" s="24"/>
      <c r="Q47" s="24"/>
    </row>
    <row r="48" customFormat="false" ht="14.25" hidden="false" customHeight="false" outlineLevel="0" collapsed="false"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8"/>
      <c r="M48" s="24"/>
      <c r="N48" s="24"/>
      <c r="O48" s="28"/>
      <c r="P48" s="24"/>
      <c r="Q48" s="24"/>
    </row>
    <row r="49" customFormat="false" ht="14.25" hidden="false" customHeight="false" outlineLevel="0" collapsed="false"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8"/>
      <c r="M49" s="24"/>
      <c r="N49" s="24"/>
      <c r="O49" s="28"/>
      <c r="P49" s="24"/>
      <c r="Q49" s="24"/>
    </row>
    <row r="50" customFormat="false" ht="14.25" hidden="false" customHeight="false" outlineLevel="0" collapsed="false"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8"/>
      <c r="M50" s="24"/>
      <c r="N50" s="24"/>
      <c r="O50" s="28"/>
      <c r="P50" s="24"/>
      <c r="Q50" s="24"/>
    </row>
    <row r="51" customFormat="false" ht="14.25" hidden="false" customHeight="false" outlineLevel="0" collapsed="false"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8"/>
      <c r="M51" s="24"/>
      <c r="N51" s="24"/>
      <c r="O51" s="28"/>
      <c r="P51" s="24"/>
      <c r="Q51" s="24"/>
    </row>
    <row r="52" customFormat="false" ht="14.25" hidden="false" customHeight="false" outlineLevel="0" collapsed="false"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8"/>
      <c r="M52" s="24"/>
      <c r="N52" s="24"/>
      <c r="O52" s="28"/>
      <c r="P52" s="24"/>
      <c r="Q52" s="24"/>
    </row>
    <row r="53" customFormat="false" ht="14.25" hidden="false" customHeight="false" outlineLevel="0" collapsed="false"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8"/>
      <c r="M53" s="24"/>
      <c r="N53" s="24"/>
      <c r="O53" s="28"/>
      <c r="P53" s="24"/>
      <c r="Q53" s="24"/>
    </row>
    <row r="54" customFormat="false" ht="14.25" hidden="false" customHeight="false" outlineLevel="0" collapsed="false"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8"/>
      <c r="M54" s="24"/>
      <c r="N54" s="24"/>
      <c r="O54" s="28"/>
      <c r="P54" s="24"/>
      <c r="Q54" s="24"/>
    </row>
    <row r="55" customFormat="false" ht="14.25" hidden="false" customHeight="false" outlineLevel="0" collapsed="false"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8"/>
      <c r="M55" s="24"/>
      <c r="N55" s="24"/>
      <c r="O55" s="28"/>
      <c r="P55" s="24"/>
      <c r="Q55" s="24"/>
    </row>
    <row r="56" customFormat="false" ht="14.25" hidden="false" customHeight="false" outlineLevel="0" collapsed="false"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8"/>
      <c r="M56" s="24"/>
      <c r="N56" s="24"/>
      <c r="O56" s="28"/>
      <c r="P56" s="24"/>
      <c r="Q56" s="24"/>
    </row>
    <row r="57" customFormat="false" ht="14.25" hidden="false" customHeight="false" outlineLevel="0" collapsed="false"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8"/>
      <c r="M57" s="24"/>
      <c r="N57" s="24"/>
      <c r="O57" s="28"/>
      <c r="P57" s="24"/>
      <c r="Q57" s="24"/>
    </row>
    <row r="58" customFormat="false" ht="14.25" hidden="false" customHeight="false" outlineLevel="0" collapsed="false"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8"/>
      <c r="M58" s="24"/>
      <c r="N58" s="24"/>
      <c r="O58" s="28"/>
      <c r="P58" s="24"/>
      <c r="Q58" s="24"/>
    </row>
    <row r="59" customFormat="false" ht="14.25" hidden="false" customHeight="false" outlineLevel="0" collapsed="false"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8"/>
      <c r="M59" s="24"/>
      <c r="N59" s="24"/>
      <c r="O59" s="28"/>
      <c r="P59" s="24"/>
      <c r="Q59" s="24"/>
    </row>
    <row r="60" customFormat="false" ht="14.25" hidden="false" customHeight="false" outlineLevel="0" collapsed="false"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8"/>
      <c r="M60" s="24"/>
      <c r="N60" s="24"/>
      <c r="O60" s="28"/>
      <c r="P60" s="24"/>
      <c r="Q60" s="24"/>
    </row>
    <row r="61" customFormat="false" ht="14.25" hidden="false" customHeight="false" outlineLevel="0" collapsed="false"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8"/>
      <c r="M61" s="24"/>
      <c r="N61" s="24"/>
      <c r="O61" s="28"/>
      <c r="P61" s="24"/>
      <c r="Q61" s="24"/>
    </row>
    <row r="62" customFormat="false" ht="14.25" hidden="false" customHeight="false" outlineLevel="0" collapsed="false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8"/>
      <c r="M62" s="24"/>
      <c r="N62" s="24"/>
      <c r="O62" s="28"/>
      <c r="P62" s="24"/>
      <c r="Q62" s="24"/>
    </row>
    <row r="63" customFormat="false" ht="14.25" hidden="false" customHeight="false" outlineLevel="0" collapsed="false"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8"/>
      <c r="M63" s="24"/>
      <c r="N63" s="24"/>
      <c r="O63" s="28"/>
      <c r="P63" s="24"/>
      <c r="Q63" s="24"/>
    </row>
    <row r="64" customFormat="false" ht="14.25" hidden="false" customHeight="false" outlineLevel="0" collapsed="false"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8"/>
      <c r="M64" s="24"/>
      <c r="N64" s="24"/>
      <c r="O64" s="28"/>
      <c r="P64" s="24"/>
      <c r="Q64" s="24"/>
    </row>
    <row r="65" customFormat="false" ht="14.25" hidden="false" customHeight="false" outlineLevel="0" collapsed="false"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8"/>
      <c r="M65" s="24"/>
      <c r="N65" s="24"/>
      <c r="O65" s="28"/>
      <c r="P65" s="24"/>
      <c r="Q65" s="24"/>
    </row>
    <row r="66" customFormat="false" ht="14.25" hidden="false" customHeight="false" outlineLevel="0" collapsed="false"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8"/>
      <c r="M66" s="24"/>
      <c r="N66" s="24"/>
      <c r="O66" s="28"/>
      <c r="P66" s="24"/>
      <c r="Q66" s="24"/>
    </row>
    <row r="67" customFormat="false" ht="14.25" hidden="false" customHeight="false" outlineLevel="0" collapsed="false"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8"/>
      <c r="M67" s="24"/>
      <c r="N67" s="24"/>
      <c r="O67" s="28"/>
      <c r="P67" s="24"/>
      <c r="Q67" s="24"/>
    </row>
    <row r="68" customFormat="false" ht="14.25" hidden="false" customHeight="false" outlineLevel="0" collapsed="false"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8"/>
      <c r="M68" s="24"/>
      <c r="N68" s="24"/>
      <c r="O68" s="28"/>
      <c r="P68" s="24"/>
      <c r="Q68" s="24"/>
    </row>
    <row r="69" customFormat="false" ht="14.25" hidden="false" customHeight="false" outlineLevel="0" collapsed="false"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8"/>
      <c r="M69" s="24"/>
      <c r="N69" s="24"/>
      <c r="O69" s="28"/>
      <c r="P69" s="24"/>
      <c r="Q69" s="24"/>
    </row>
    <row r="70" customFormat="false" ht="14.25" hidden="false" customHeight="false" outlineLevel="0" collapsed="false"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8"/>
      <c r="M70" s="24"/>
      <c r="N70" s="24"/>
      <c r="O70" s="28"/>
      <c r="P70" s="24"/>
      <c r="Q70" s="24"/>
    </row>
    <row r="71" customFormat="false" ht="14.25" hidden="false" customHeight="false" outlineLevel="0" collapsed="false"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8"/>
      <c r="M71" s="24"/>
      <c r="N71" s="24"/>
      <c r="O71" s="28"/>
      <c r="P71" s="24"/>
      <c r="Q71" s="24"/>
    </row>
    <row r="72" customFormat="false" ht="14.25" hidden="false" customHeight="false" outlineLevel="0" collapsed="false"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8"/>
      <c r="M72" s="24"/>
      <c r="N72" s="24"/>
      <c r="O72" s="28"/>
      <c r="P72" s="24"/>
      <c r="Q72" s="24"/>
    </row>
    <row r="73" customFormat="false" ht="14.25" hidden="false" customHeight="false" outlineLevel="0" collapsed="false"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8"/>
      <c r="M73" s="24"/>
      <c r="N73" s="24"/>
      <c r="O73" s="28"/>
      <c r="P73" s="24"/>
      <c r="Q73" s="24"/>
    </row>
    <row r="74" customFormat="false" ht="14.25" hidden="false" customHeight="false" outlineLevel="0" collapsed="false"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8"/>
      <c r="M74" s="24"/>
      <c r="N74" s="24"/>
      <c r="O74" s="28"/>
      <c r="P74" s="24"/>
      <c r="Q74" s="24"/>
    </row>
    <row r="75" customFormat="false" ht="14.25" hidden="false" customHeight="false" outlineLevel="0" collapsed="false"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8"/>
      <c r="M75" s="24"/>
      <c r="N75" s="24"/>
      <c r="O75" s="28"/>
      <c r="P75" s="24"/>
      <c r="Q75" s="24"/>
    </row>
    <row r="76" customFormat="false" ht="14.25" hidden="false" customHeight="false" outlineLevel="0" collapsed="false"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8"/>
      <c r="M76" s="24"/>
      <c r="N76" s="24"/>
      <c r="O76" s="28"/>
      <c r="P76" s="24"/>
      <c r="Q76" s="24"/>
    </row>
    <row r="77" customFormat="false" ht="14.25" hidden="false" customHeight="false" outlineLevel="0" collapsed="false"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8"/>
      <c r="M77" s="24"/>
      <c r="N77" s="24"/>
      <c r="O77" s="28"/>
      <c r="P77" s="24"/>
      <c r="Q77" s="24"/>
    </row>
    <row r="78" customFormat="false" ht="14.25" hidden="false" customHeight="false" outlineLevel="0" collapsed="false"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8"/>
      <c r="M78" s="24"/>
      <c r="N78" s="24"/>
      <c r="O78" s="28"/>
      <c r="P78" s="24"/>
      <c r="Q78" s="24"/>
    </row>
    <row r="79" customFormat="false" ht="14.25" hidden="false" customHeight="false" outlineLevel="0" collapsed="false"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8"/>
      <c r="M79" s="24"/>
      <c r="N79" s="24"/>
      <c r="O79" s="28"/>
      <c r="P79" s="24"/>
      <c r="Q79" s="24"/>
    </row>
    <row r="80" customFormat="false" ht="14.25" hidden="false" customHeight="false" outlineLevel="0" collapsed="false"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8"/>
      <c r="M80" s="24"/>
      <c r="N80" s="24"/>
      <c r="O80" s="28"/>
      <c r="P80" s="24"/>
      <c r="Q80" s="24"/>
    </row>
    <row r="81" customFormat="false" ht="14.25" hidden="false" customHeight="false" outlineLevel="0" collapsed="false"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8"/>
      <c r="M81" s="24"/>
      <c r="N81" s="24"/>
      <c r="O81" s="28"/>
      <c r="P81" s="24"/>
      <c r="Q81" s="24"/>
    </row>
    <row r="82" customFormat="false" ht="14.25" hidden="false" customHeight="false" outlineLevel="0" collapsed="false"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8"/>
      <c r="M82" s="24"/>
      <c r="N82" s="24"/>
      <c r="O82" s="28"/>
      <c r="P82" s="24"/>
      <c r="Q82" s="24"/>
    </row>
    <row r="83" customFormat="false" ht="14.25" hidden="false" customHeight="false" outlineLevel="0" collapsed="false"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8"/>
      <c r="M83" s="24"/>
      <c r="N83" s="24"/>
      <c r="O83" s="28"/>
      <c r="P83" s="24"/>
      <c r="Q83" s="24"/>
    </row>
    <row r="84" customFormat="false" ht="14.25" hidden="false" customHeight="false" outlineLevel="0" collapsed="false"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8"/>
      <c r="M84" s="24"/>
      <c r="N84" s="24"/>
      <c r="O84" s="28"/>
      <c r="P84" s="24"/>
      <c r="Q84" s="24"/>
    </row>
    <row r="85" customFormat="false" ht="14.25" hidden="false" customHeight="false" outlineLevel="0" collapsed="false"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8"/>
      <c r="M85" s="24"/>
      <c r="N85" s="24"/>
      <c r="O85" s="28"/>
      <c r="P85" s="24"/>
      <c r="Q85" s="24"/>
    </row>
    <row r="86" customFormat="false" ht="14.25" hidden="false" customHeight="false" outlineLevel="0" collapsed="false"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8"/>
      <c r="M86" s="24"/>
      <c r="N86" s="24"/>
      <c r="O86" s="28"/>
      <c r="P86" s="24"/>
      <c r="Q86" s="24"/>
    </row>
    <row r="87" customFormat="false" ht="14.25" hidden="false" customHeight="false" outlineLevel="0" collapsed="false"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8"/>
      <c r="M87" s="24"/>
      <c r="N87" s="24"/>
      <c r="O87" s="28"/>
      <c r="P87" s="24"/>
      <c r="Q87" s="24"/>
    </row>
    <row r="88" customFormat="false" ht="14.25" hidden="false" customHeight="false" outlineLevel="0" collapsed="false"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8"/>
      <c r="M88" s="24"/>
      <c r="N88" s="24"/>
      <c r="O88" s="28"/>
      <c r="P88" s="24"/>
      <c r="Q88" s="24"/>
    </row>
    <row r="89" customFormat="false" ht="14.25" hidden="false" customHeight="false" outlineLevel="0" collapsed="false"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8"/>
      <c r="M89" s="24"/>
      <c r="N89" s="24"/>
      <c r="O89" s="28"/>
      <c r="P89" s="24"/>
      <c r="Q89" s="24"/>
    </row>
    <row r="90" customFormat="false" ht="14.25" hidden="false" customHeight="false" outlineLevel="0" collapsed="false"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8"/>
      <c r="M90" s="24"/>
      <c r="N90" s="24"/>
      <c r="O90" s="28"/>
      <c r="P90" s="24"/>
      <c r="Q90" s="24"/>
    </row>
    <row r="91" customFormat="false" ht="14.25" hidden="false" customHeight="false" outlineLevel="0" collapsed="false"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8"/>
      <c r="M91" s="24"/>
      <c r="N91" s="24"/>
      <c r="O91" s="28"/>
      <c r="P91" s="24"/>
      <c r="Q91" s="24"/>
    </row>
    <row r="92" customFormat="false" ht="14.25" hidden="false" customHeight="false" outlineLevel="0" collapsed="false"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8"/>
      <c r="M92" s="24"/>
      <c r="N92" s="24"/>
      <c r="O92" s="28"/>
      <c r="P92" s="24"/>
      <c r="Q92" s="24"/>
    </row>
    <row r="93" customFormat="false" ht="14.25" hidden="false" customHeight="false" outlineLevel="0" collapsed="false"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8"/>
      <c r="M93" s="24"/>
      <c r="N93" s="24"/>
      <c r="O93" s="28"/>
      <c r="P93" s="24"/>
      <c r="Q93" s="24"/>
    </row>
    <row r="94" customFormat="false" ht="14.25" hidden="false" customHeight="false" outlineLevel="0" collapsed="false"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8"/>
      <c r="M94" s="24"/>
      <c r="N94" s="24"/>
      <c r="O94" s="28"/>
      <c r="P94" s="24"/>
      <c r="Q94" s="24"/>
    </row>
    <row r="95" customFormat="false" ht="14.25" hidden="false" customHeight="false" outlineLevel="0" collapsed="false"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8"/>
      <c r="M95" s="24"/>
      <c r="N95" s="24"/>
      <c r="O95" s="28"/>
      <c r="P95" s="24"/>
      <c r="Q95" s="24"/>
    </row>
    <row r="96" customFormat="false" ht="14.25" hidden="false" customHeight="false" outlineLevel="0" collapsed="false"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8"/>
      <c r="M96" s="24"/>
      <c r="N96" s="24"/>
      <c r="O96" s="28"/>
      <c r="P96" s="24"/>
      <c r="Q96" s="24"/>
    </row>
    <row r="97" customFormat="false" ht="14.25" hidden="false" customHeight="false" outlineLevel="0" collapsed="false"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8"/>
      <c r="M97" s="24"/>
      <c r="N97" s="24"/>
      <c r="O97" s="28"/>
      <c r="P97" s="24"/>
      <c r="Q97" s="24"/>
    </row>
    <row r="98" customFormat="false" ht="14.25" hidden="false" customHeight="false" outlineLevel="0" collapsed="false"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8"/>
      <c r="M98" s="24"/>
      <c r="N98" s="24"/>
      <c r="O98" s="28"/>
      <c r="P98" s="24"/>
      <c r="Q98" s="24"/>
    </row>
    <row r="99" customFormat="false" ht="14.25" hidden="false" customHeight="false" outlineLevel="0" collapsed="false"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8"/>
      <c r="M99" s="24"/>
      <c r="N99" s="24"/>
      <c r="O99" s="28"/>
      <c r="P99" s="24"/>
      <c r="Q99" s="24"/>
    </row>
    <row r="100" customFormat="false" ht="14.25" hidden="false" customHeight="false" outlineLevel="0" collapsed="false"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8"/>
      <c r="M100" s="24"/>
      <c r="N100" s="24"/>
      <c r="O100" s="28"/>
      <c r="P100" s="24"/>
      <c r="Q100" s="24"/>
    </row>
    <row r="101" customFormat="false" ht="14.25" hidden="false" customHeight="false" outlineLevel="0" collapsed="false"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8"/>
      <c r="M101" s="24"/>
      <c r="N101" s="24"/>
      <c r="O101" s="28"/>
      <c r="P101" s="24"/>
      <c r="Q101" s="24"/>
    </row>
    <row r="102" customFormat="false" ht="14.25" hidden="false" customHeight="false" outlineLevel="0" collapsed="false"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8"/>
      <c r="M102" s="24"/>
      <c r="N102" s="24"/>
      <c r="O102" s="28"/>
      <c r="P102" s="24"/>
      <c r="Q102" s="24"/>
    </row>
    <row r="103" customFormat="false" ht="14.25" hidden="false" customHeight="false" outlineLevel="0" collapsed="false"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8"/>
      <c r="M103" s="24"/>
      <c r="N103" s="24"/>
      <c r="O103" s="28"/>
      <c r="P103" s="24"/>
      <c r="Q103" s="24"/>
    </row>
    <row r="104" customFormat="false" ht="14.25" hidden="false" customHeight="false" outlineLevel="0" collapsed="false"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8"/>
      <c r="M104" s="24"/>
      <c r="N104" s="24"/>
      <c r="O104" s="28"/>
      <c r="P104" s="24"/>
      <c r="Q104" s="24"/>
    </row>
    <row r="105" customFormat="false" ht="14.25" hidden="false" customHeight="false" outlineLevel="0" collapsed="false"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8"/>
      <c r="M105" s="24"/>
      <c r="N105" s="24"/>
      <c r="O105" s="28"/>
      <c r="P105" s="24"/>
      <c r="Q105" s="24"/>
    </row>
    <row r="106" customFormat="false" ht="14.25" hidden="false" customHeight="false" outlineLevel="0" collapsed="false"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8"/>
      <c r="M106" s="24"/>
      <c r="N106" s="24"/>
      <c r="O106" s="28"/>
      <c r="P106" s="24"/>
      <c r="Q106" s="24"/>
    </row>
    <row r="107" customFormat="false" ht="14.25" hidden="false" customHeight="false" outlineLevel="0" collapsed="false"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8"/>
      <c r="M107" s="24"/>
      <c r="N107" s="24"/>
      <c r="O107" s="28"/>
      <c r="P107" s="24"/>
      <c r="Q107" s="24"/>
    </row>
    <row r="108" customFormat="false" ht="14.25" hidden="false" customHeight="false" outlineLevel="0" collapsed="false"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8"/>
      <c r="M108" s="24"/>
      <c r="N108" s="24"/>
      <c r="O108" s="28"/>
      <c r="P108" s="24"/>
      <c r="Q108" s="24"/>
    </row>
    <row r="109" customFormat="false" ht="14.25" hidden="false" customHeight="false" outlineLevel="0" collapsed="false"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8"/>
      <c r="M109" s="24"/>
      <c r="N109" s="24"/>
      <c r="O109" s="28"/>
      <c r="P109" s="24"/>
      <c r="Q109" s="24"/>
    </row>
    <row r="110" customFormat="false" ht="14.25" hidden="false" customHeight="false" outlineLevel="0" collapsed="false"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8"/>
      <c r="M110" s="24"/>
      <c r="N110" s="24"/>
      <c r="O110" s="28"/>
      <c r="P110" s="24"/>
      <c r="Q110" s="24"/>
    </row>
    <row r="111" customFormat="false" ht="14.25" hidden="false" customHeight="false" outlineLevel="0" collapsed="false"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8"/>
      <c r="M111" s="24"/>
      <c r="N111" s="24"/>
      <c r="O111" s="28"/>
      <c r="P111" s="24"/>
      <c r="Q111" s="24"/>
    </row>
    <row r="112" customFormat="false" ht="14.25" hidden="false" customHeight="false" outlineLevel="0" collapsed="false"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8"/>
      <c r="M112" s="24"/>
      <c r="N112" s="24"/>
      <c r="O112" s="28"/>
      <c r="P112" s="24"/>
      <c r="Q112" s="24"/>
    </row>
    <row r="113" customFormat="false" ht="14.25" hidden="false" customHeight="false" outlineLevel="0" collapsed="false"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8"/>
      <c r="M113" s="24"/>
      <c r="N113" s="24"/>
      <c r="O113" s="28"/>
      <c r="P113" s="24"/>
      <c r="Q113" s="24"/>
    </row>
    <row r="114" customFormat="false" ht="14.25" hidden="false" customHeight="false" outlineLevel="0" collapsed="false"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8"/>
      <c r="M114" s="24"/>
      <c r="N114" s="24"/>
      <c r="O114" s="28"/>
      <c r="P114" s="24"/>
      <c r="Q114" s="24"/>
    </row>
    <row r="115" customFormat="false" ht="14.25" hidden="false" customHeight="false" outlineLevel="0" collapsed="false"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8"/>
      <c r="M115" s="24"/>
      <c r="N115" s="24"/>
      <c r="O115" s="28"/>
      <c r="P115" s="24"/>
      <c r="Q115" s="24"/>
    </row>
    <row r="116" customFormat="false" ht="14.25" hidden="false" customHeight="false" outlineLevel="0" collapsed="false"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8"/>
      <c r="M116" s="24"/>
      <c r="N116" s="24"/>
      <c r="O116" s="28"/>
      <c r="P116" s="24"/>
      <c r="Q116" s="24"/>
    </row>
    <row r="117" customFormat="false" ht="14.25" hidden="false" customHeight="false" outlineLevel="0" collapsed="false"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8"/>
      <c r="M117" s="24"/>
      <c r="N117" s="24"/>
      <c r="O117" s="28"/>
      <c r="P117" s="24"/>
      <c r="Q117" s="24"/>
    </row>
    <row r="118" customFormat="false" ht="14.25" hidden="false" customHeight="false" outlineLevel="0" collapsed="false"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8"/>
      <c r="M118" s="24"/>
      <c r="N118" s="24"/>
      <c r="O118" s="28"/>
      <c r="P118" s="24"/>
      <c r="Q118" s="24"/>
    </row>
    <row r="119" customFormat="false" ht="14.25" hidden="false" customHeight="false" outlineLevel="0" collapsed="false"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8"/>
      <c r="M119" s="24"/>
      <c r="N119" s="24"/>
      <c r="O119" s="28"/>
      <c r="P119" s="24"/>
      <c r="Q119" s="24"/>
    </row>
    <row r="120" customFormat="false" ht="14.25" hidden="false" customHeight="false" outlineLevel="0" collapsed="false"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8"/>
      <c r="M120" s="24"/>
      <c r="N120" s="24"/>
      <c r="O120" s="28"/>
      <c r="P120" s="24"/>
      <c r="Q120" s="24"/>
    </row>
    <row r="121" customFormat="false" ht="14.25" hidden="false" customHeight="false" outlineLevel="0" collapsed="false"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8"/>
      <c r="M121" s="24"/>
      <c r="N121" s="24"/>
      <c r="O121" s="28"/>
      <c r="P121" s="24"/>
      <c r="Q121" s="24"/>
    </row>
    <row r="122" customFormat="false" ht="14.25" hidden="false" customHeight="false" outlineLevel="0" collapsed="false"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8"/>
      <c r="M122" s="24"/>
      <c r="N122" s="24"/>
      <c r="O122" s="28"/>
      <c r="P122" s="24"/>
      <c r="Q122" s="24"/>
    </row>
    <row r="123" customFormat="false" ht="14.25" hidden="false" customHeight="false" outlineLevel="0" collapsed="false"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8"/>
      <c r="M123" s="24"/>
      <c r="N123" s="24"/>
      <c r="O123" s="28"/>
      <c r="P123" s="24"/>
      <c r="Q123" s="24"/>
    </row>
    <row r="124" customFormat="false" ht="14.25" hidden="false" customHeight="false" outlineLevel="0" collapsed="false"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8"/>
      <c r="M124" s="24"/>
      <c r="N124" s="24"/>
      <c r="O124" s="28"/>
      <c r="P124" s="24"/>
      <c r="Q124" s="24"/>
    </row>
    <row r="125" customFormat="false" ht="14.25" hidden="false" customHeight="false" outlineLevel="0" collapsed="false"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8"/>
      <c r="M125" s="24"/>
      <c r="N125" s="24"/>
      <c r="O125" s="28"/>
      <c r="P125" s="24"/>
      <c r="Q125" s="24"/>
    </row>
    <row r="126" customFormat="false" ht="14.25" hidden="false" customHeight="false" outlineLevel="0" collapsed="false"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8"/>
      <c r="M126" s="24"/>
      <c r="N126" s="24"/>
      <c r="O126" s="28"/>
      <c r="P126" s="24"/>
      <c r="Q126" s="24"/>
    </row>
    <row r="127" customFormat="false" ht="14.25" hidden="false" customHeight="false" outlineLevel="0" collapsed="false"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8"/>
      <c r="M127" s="24"/>
      <c r="N127" s="24"/>
      <c r="O127" s="28"/>
      <c r="P127" s="24"/>
      <c r="Q127" s="24"/>
    </row>
    <row r="128" customFormat="false" ht="14.25" hidden="false" customHeight="false" outlineLevel="0" collapsed="false"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8"/>
      <c r="M128" s="24"/>
      <c r="N128" s="24"/>
      <c r="O128" s="28"/>
      <c r="P128" s="24"/>
      <c r="Q128" s="24"/>
    </row>
    <row r="129" customFormat="false" ht="14.25" hidden="false" customHeight="false" outlineLevel="0" collapsed="false"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8"/>
      <c r="M129" s="24"/>
      <c r="N129" s="24"/>
      <c r="O129" s="28"/>
      <c r="P129" s="24"/>
      <c r="Q129" s="24"/>
    </row>
    <row r="130" customFormat="false" ht="14.25" hidden="false" customHeight="false" outlineLevel="0" collapsed="false"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8"/>
      <c r="M130" s="24"/>
      <c r="N130" s="24"/>
      <c r="O130" s="28"/>
      <c r="P130" s="24"/>
      <c r="Q130" s="24"/>
    </row>
    <row r="131" customFormat="false" ht="14.25" hidden="false" customHeight="false" outlineLevel="0" collapsed="false"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8"/>
      <c r="M131" s="24"/>
      <c r="N131" s="24"/>
      <c r="O131" s="28"/>
      <c r="P131" s="24"/>
      <c r="Q131" s="24"/>
    </row>
    <row r="132" customFormat="false" ht="14.25" hidden="false" customHeight="false" outlineLevel="0" collapsed="false"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8"/>
      <c r="M132" s="24"/>
      <c r="N132" s="24"/>
      <c r="O132" s="28"/>
      <c r="P132" s="24"/>
      <c r="Q132" s="24"/>
    </row>
    <row r="133" customFormat="false" ht="14.25" hidden="false" customHeight="false" outlineLevel="0" collapsed="false"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8"/>
      <c r="M133" s="24"/>
      <c r="N133" s="24"/>
      <c r="O133" s="28"/>
      <c r="P133" s="24"/>
      <c r="Q133" s="24"/>
    </row>
    <row r="134" customFormat="false" ht="14.25" hidden="false" customHeight="false" outlineLevel="0" collapsed="false"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8"/>
      <c r="M134" s="24"/>
      <c r="N134" s="24"/>
      <c r="O134" s="28"/>
      <c r="P134" s="24"/>
      <c r="Q134" s="24"/>
    </row>
    <row r="135" customFormat="false" ht="14.25" hidden="false" customHeight="false" outlineLevel="0" collapsed="false"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8"/>
      <c r="M135" s="24"/>
      <c r="N135" s="24"/>
      <c r="O135" s="28"/>
      <c r="P135" s="24"/>
      <c r="Q135" s="24"/>
    </row>
    <row r="136" customFormat="false" ht="14.25" hidden="false" customHeight="false" outlineLevel="0" collapsed="false"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8"/>
      <c r="M136" s="24"/>
      <c r="N136" s="24"/>
      <c r="O136" s="28"/>
      <c r="P136" s="24"/>
      <c r="Q136" s="24"/>
    </row>
    <row r="137" customFormat="false" ht="14.25" hidden="false" customHeight="false" outlineLevel="0" collapsed="false"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8"/>
      <c r="M137" s="24"/>
      <c r="N137" s="24"/>
      <c r="O137" s="28"/>
      <c r="P137" s="24"/>
      <c r="Q137" s="24"/>
    </row>
    <row r="138" customFormat="false" ht="14.25" hidden="false" customHeight="false" outlineLevel="0" collapsed="false"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8"/>
      <c r="M138" s="24"/>
      <c r="N138" s="24"/>
      <c r="O138" s="28"/>
      <c r="P138" s="24"/>
      <c r="Q138" s="24"/>
    </row>
    <row r="139" customFormat="false" ht="14.25" hidden="false" customHeight="false" outlineLevel="0" collapsed="false"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8"/>
      <c r="M139" s="24"/>
      <c r="N139" s="24"/>
      <c r="O139" s="28"/>
      <c r="P139" s="24"/>
      <c r="Q139" s="24"/>
    </row>
    <row r="140" customFormat="false" ht="14.25" hidden="false" customHeight="false" outlineLevel="0" collapsed="false"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8"/>
      <c r="M140" s="24"/>
      <c r="N140" s="24"/>
      <c r="O140" s="28"/>
      <c r="P140" s="24"/>
      <c r="Q140" s="24"/>
    </row>
    <row r="141" customFormat="false" ht="14.25" hidden="false" customHeight="false" outlineLevel="0" collapsed="false"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8"/>
      <c r="M141" s="24"/>
      <c r="N141" s="24"/>
      <c r="O141" s="28"/>
      <c r="P141" s="24"/>
      <c r="Q141" s="24"/>
    </row>
    <row r="142" customFormat="false" ht="14.25" hidden="false" customHeight="false" outlineLevel="0" collapsed="false"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8"/>
      <c r="M142" s="24"/>
      <c r="N142" s="24"/>
      <c r="O142" s="28"/>
      <c r="P142" s="24"/>
      <c r="Q142" s="24"/>
    </row>
    <row r="143" customFormat="false" ht="14.25" hidden="false" customHeight="false" outlineLevel="0" collapsed="false"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8"/>
      <c r="M143" s="24"/>
      <c r="N143" s="24"/>
      <c r="O143" s="28"/>
      <c r="P143" s="24"/>
      <c r="Q143" s="24"/>
    </row>
    <row r="144" customFormat="false" ht="14.25" hidden="false" customHeight="false" outlineLevel="0" collapsed="false"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8"/>
      <c r="M144" s="24"/>
      <c r="N144" s="24"/>
      <c r="O144" s="28"/>
      <c r="P144" s="24"/>
      <c r="Q144" s="24"/>
    </row>
    <row r="145" customFormat="false" ht="14.25" hidden="false" customHeight="false" outlineLevel="0" collapsed="false"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8"/>
      <c r="M145" s="24"/>
      <c r="N145" s="24"/>
      <c r="O145" s="28"/>
      <c r="P145" s="24"/>
      <c r="Q145" s="24"/>
    </row>
    <row r="146" customFormat="false" ht="14.25" hidden="false" customHeight="false" outlineLevel="0" collapsed="false"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8"/>
      <c r="M146" s="24"/>
      <c r="N146" s="24"/>
      <c r="O146" s="28"/>
      <c r="P146" s="24"/>
      <c r="Q146" s="24"/>
    </row>
    <row r="147" customFormat="false" ht="14.25" hidden="false" customHeight="false" outlineLevel="0" collapsed="false"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8"/>
      <c r="M147" s="24"/>
      <c r="N147" s="24"/>
      <c r="O147" s="28"/>
      <c r="P147" s="24"/>
      <c r="Q147" s="24"/>
    </row>
    <row r="148" customFormat="false" ht="14.25" hidden="false" customHeight="false" outlineLevel="0" collapsed="false"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8"/>
      <c r="M148" s="24"/>
      <c r="N148" s="24"/>
      <c r="O148" s="28"/>
      <c r="P148" s="24"/>
      <c r="Q148" s="24"/>
    </row>
    <row r="149" customFormat="false" ht="14.25" hidden="false" customHeight="false" outlineLevel="0" collapsed="false"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8"/>
      <c r="M149" s="24"/>
      <c r="N149" s="24"/>
      <c r="O149" s="28"/>
      <c r="P149" s="24"/>
      <c r="Q149" s="24"/>
    </row>
    <row r="150" customFormat="false" ht="14.25" hidden="false" customHeight="false" outlineLevel="0" collapsed="false"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8"/>
      <c r="M150" s="24"/>
      <c r="N150" s="24"/>
      <c r="O150" s="28"/>
      <c r="P150" s="24"/>
      <c r="Q150" s="24"/>
    </row>
    <row r="151" customFormat="false" ht="14.25" hidden="false" customHeight="false" outlineLevel="0" collapsed="false"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8"/>
      <c r="M151" s="24"/>
      <c r="N151" s="24"/>
      <c r="O151" s="28"/>
      <c r="P151" s="24"/>
      <c r="Q151" s="24"/>
    </row>
    <row r="152" customFormat="false" ht="14.25" hidden="false" customHeight="false" outlineLevel="0" collapsed="false"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8"/>
      <c r="M152" s="24"/>
      <c r="N152" s="24"/>
      <c r="O152" s="28"/>
      <c r="P152" s="24"/>
      <c r="Q152" s="24"/>
    </row>
    <row r="153" customFormat="false" ht="14.25" hidden="false" customHeight="false" outlineLevel="0" collapsed="false"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8"/>
      <c r="M153" s="24"/>
      <c r="N153" s="24"/>
      <c r="O153" s="28"/>
      <c r="P153" s="24"/>
      <c r="Q153" s="24"/>
    </row>
    <row r="154" customFormat="false" ht="14.25" hidden="false" customHeight="false" outlineLevel="0" collapsed="false"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8"/>
      <c r="M154" s="24"/>
      <c r="N154" s="24"/>
      <c r="O154" s="28"/>
      <c r="P154" s="24"/>
      <c r="Q154" s="24"/>
    </row>
    <row r="155" customFormat="false" ht="14.25" hidden="false" customHeight="false" outlineLevel="0" collapsed="false"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8"/>
      <c r="M155" s="24"/>
      <c r="N155" s="24"/>
      <c r="O155" s="28"/>
      <c r="P155" s="24"/>
      <c r="Q155" s="24"/>
    </row>
    <row r="156" customFormat="false" ht="14.25" hidden="false" customHeight="false" outlineLevel="0" collapsed="false"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8"/>
      <c r="M156" s="24"/>
      <c r="N156" s="24"/>
      <c r="O156" s="28"/>
      <c r="P156" s="24"/>
      <c r="Q156" s="24"/>
    </row>
    <row r="157" customFormat="false" ht="14.25" hidden="false" customHeight="false" outlineLevel="0" collapsed="false"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8"/>
      <c r="M157" s="24"/>
      <c r="N157" s="24"/>
      <c r="O157" s="28"/>
      <c r="P157" s="24"/>
      <c r="Q157" s="24"/>
    </row>
    <row r="158" customFormat="false" ht="14.25" hidden="false" customHeight="false" outlineLevel="0" collapsed="false"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8"/>
      <c r="M158" s="24"/>
      <c r="N158" s="24"/>
      <c r="O158" s="28"/>
      <c r="P158" s="24"/>
      <c r="Q158" s="24"/>
    </row>
    <row r="159" customFormat="false" ht="14.25" hidden="false" customHeight="false" outlineLevel="0" collapsed="false"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8"/>
      <c r="M159" s="24"/>
      <c r="N159" s="24"/>
      <c r="O159" s="28"/>
      <c r="P159" s="24"/>
      <c r="Q159" s="24"/>
    </row>
    <row r="160" customFormat="false" ht="14.25" hidden="false" customHeight="false" outlineLevel="0" collapsed="false"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8"/>
      <c r="M160" s="24"/>
      <c r="N160" s="24"/>
      <c r="O160" s="28"/>
      <c r="P160" s="24"/>
      <c r="Q160" s="24"/>
    </row>
    <row r="161" customFormat="false" ht="14.25" hidden="false" customHeight="false" outlineLevel="0" collapsed="false"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8"/>
      <c r="M161" s="24"/>
      <c r="N161" s="24"/>
      <c r="O161" s="28"/>
      <c r="P161" s="24"/>
      <c r="Q161" s="24"/>
    </row>
    <row r="162" customFormat="false" ht="14.25" hidden="false" customHeight="false" outlineLevel="0" collapsed="false"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8"/>
      <c r="M162" s="24"/>
      <c r="N162" s="24"/>
      <c r="O162" s="28"/>
      <c r="P162" s="24"/>
      <c r="Q162" s="24"/>
    </row>
    <row r="163" customFormat="false" ht="14.25" hidden="false" customHeight="false" outlineLevel="0" collapsed="false"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8"/>
      <c r="M163" s="24"/>
      <c r="N163" s="24"/>
      <c r="O163" s="28"/>
      <c r="P163" s="24"/>
      <c r="Q163" s="24"/>
    </row>
    <row r="164" customFormat="false" ht="14.25" hidden="false" customHeight="false" outlineLevel="0" collapsed="false"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8"/>
      <c r="M164" s="24"/>
      <c r="N164" s="24"/>
      <c r="O164" s="28"/>
      <c r="P164" s="24"/>
      <c r="Q164" s="24"/>
    </row>
    <row r="165" customFormat="false" ht="14.25" hidden="false" customHeight="false" outlineLevel="0" collapsed="false"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8"/>
      <c r="M165" s="24"/>
      <c r="N165" s="24"/>
      <c r="O165" s="28"/>
      <c r="P165" s="24"/>
      <c r="Q165" s="24"/>
    </row>
    <row r="166" customFormat="false" ht="14.25" hidden="false" customHeight="false" outlineLevel="0" collapsed="false"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8"/>
      <c r="M166" s="24"/>
      <c r="N166" s="24"/>
      <c r="O166" s="28"/>
      <c r="P166" s="24"/>
      <c r="Q166" s="24"/>
    </row>
    <row r="167" customFormat="false" ht="14.25" hidden="false" customHeight="false" outlineLevel="0" collapsed="false"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8"/>
      <c r="M167" s="24"/>
      <c r="N167" s="24"/>
      <c r="O167" s="28"/>
      <c r="P167" s="24"/>
      <c r="Q167" s="24"/>
    </row>
    <row r="168" customFormat="false" ht="14.25" hidden="false" customHeight="false" outlineLevel="0" collapsed="false"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8"/>
      <c r="M168" s="24"/>
      <c r="N168" s="24"/>
      <c r="O168" s="28"/>
      <c r="P168" s="24"/>
      <c r="Q168" s="24"/>
    </row>
    <row r="169" customFormat="false" ht="14.25" hidden="false" customHeight="false" outlineLevel="0" collapsed="false"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8"/>
      <c r="M169" s="24"/>
      <c r="N169" s="24"/>
      <c r="O169" s="28"/>
      <c r="P169" s="24"/>
      <c r="Q169" s="24"/>
    </row>
    <row r="170" customFormat="false" ht="14.25" hidden="false" customHeight="false" outlineLevel="0" collapsed="false"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8"/>
      <c r="M170" s="24"/>
      <c r="N170" s="24"/>
      <c r="O170" s="28"/>
      <c r="P170" s="24"/>
      <c r="Q170" s="24"/>
    </row>
    <row r="171" customFormat="false" ht="14.25" hidden="false" customHeight="false" outlineLevel="0" collapsed="false"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8"/>
      <c r="M171" s="24"/>
      <c r="N171" s="24"/>
      <c r="O171" s="28"/>
      <c r="P171" s="24"/>
      <c r="Q171" s="24"/>
    </row>
    <row r="172" customFormat="false" ht="14.25" hidden="false" customHeight="false" outlineLevel="0" collapsed="false"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8"/>
      <c r="M172" s="24"/>
      <c r="N172" s="24"/>
      <c r="O172" s="28"/>
      <c r="P172" s="24"/>
      <c r="Q172" s="24"/>
    </row>
    <row r="173" customFormat="false" ht="14.25" hidden="false" customHeight="false" outlineLevel="0" collapsed="false"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8"/>
      <c r="M173" s="24"/>
      <c r="N173" s="24"/>
      <c r="O173" s="28"/>
      <c r="P173" s="24"/>
      <c r="Q173" s="24"/>
    </row>
    <row r="174" customFormat="false" ht="14.25" hidden="false" customHeight="false" outlineLevel="0" collapsed="false"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8"/>
      <c r="M174" s="24"/>
      <c r="N174" s="24"/>
      <c r="O174" s="28"/>
      <c r="P174" s="24"/>
      <c r="Q174" s="24"/>
    </row>
    <row r="175" customFormat="false" ht="14.25" hidden="false" customHeight="false" outlineLevel="0" collapsed="false"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8"/>
      <c r="M175" s="24"/>
      <c r="N175" s="24"/>
      <c r="O175" s="28"/>
      <c r="P175" s="24"/>
      <c r="Q175" s="24"/>
    </row>
    <row r="176" customFormat="false" ht="14.25" hidden="false" customHeight="false" outlineLevel="0" collapsed="false"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8"/>
      <c r="M176" s="24"/>
      <c r="N176" s="24"/>
      <c r="O176" s="28"/>
      <c r="P176" s="24"/>
      <c r="Q176" s="24"/>
    </row>
    <row r="177" customFormat="false" ht="14.25" hidden="false" customHeight="false" outlineLevel="0" collapsed="false"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8"/>
      <c r="M177" s="24"/>
      <c r="N177" s="24"/>
      <c r="O177" s="28"/>
      <c r="P177" s="24"/>
      <c r="Q177" s="24"/>
    </row>
    <row r="178" customFormat="false" ht="14.25" hidden="false" customHeight="false" outlineLevel="0" collapsed="false"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8"/>
      <c r="M178" s="24"/>
      <c r="N178" s="24"/>
      <c r="O178" s="28"/>
      <c r="P178" s="24"/>
      <c r="Q178" s="24"/>
    </row>
    <row r="179" customFormat="false" ht="14.25" hidden="false" customHeight="false" outlineLevel="0" collapsed="false"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8"/>
      <c r="M179" s="24"/>
      <c r="N179" s="24"/>
      <c r="O179" s="28"/>
      <c r="P179" s="24"/>
      <c r="Q179" s="24"/>
    </row>
    <row r="180" customFormat="false" ht="14.25" hidden="false" customHeight="false" outlineLevel="0" collapsed="false"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8"/>
      <c r="M180" s="24"/>
      <c r="N180" s="24"/>
      <c r="O180" s="28"/>
      <c r="P180" s="24"/>
      <c r="Q180" s="24"/>
    </row>
    <row r="181" customFormat="false" ht="14.25" hidden="false" customHeight="false" outlineLevel="0" collapsed="false"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8"/>
      <c r="M181" s="24"/>
      <c r="N181" s="24"/>
      <c r="O181" s="28"/>
      <c r="P181" s="24"/>
      <c r="Q181" s="24"/>
    </row>
    <row r="182" customFormat="false" ht="14.25" hidden="false" customHeight="false" outlineLevel="0" collapsed="false"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8"/>
      <c r="M182" s="24"/>
      <c r="N182" s="24"/>
      <c r="O182" s="28"/>
      <c r="P182" s="24"/>
      <c r="Q182" s="24"/>
    </row>
    <row r="183" customFormat="false" ht="14.25" hidden="false" customHeight="false" outlineLevel="0" collapsed="false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8"/>
      <c r="M183" s="24"/>
      <c r="N183" s="24"/>
      <c r="O183" s="28"/>
      <c r="P183" s="24"/>
      <c r="Q183" s="24"/>
    </row>
    <row r="184" customFormat="false" ht="14.25" hidden="false" customHeight="false" outlineLevel="0" collapsed="false"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8"/>
      <c r="M184" s="24"/>
      <c r="N184" s="24"/>
      <c r="O184" s="28"/>
      <c r="P184" s="24"/>
      <c r="Q184" s="24"/>
    </row>
    <row r="185" customFormat="false" ht="14.25" hidden="false" customHeight="false" outlineLevel="0" collapsed="false"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8"/>
      <c r="M185" s="24"/>
      <c r="N185" s="24"/>
      <c r="O185" s="28"/>
      <c r="P185" s="24"/>
      <c r="Q185" s="24"/>
    </row>
    <row r="186" customFormat="false" ht="14.25" hidden="false" customHeight="false" outlineLevel="0" collapsed="false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8"/>
      <c r="M186" s="24"/>
      <c r="N186" s="24"/>
      <c r="O186" s="28"/>
      <c r="P186" s="24"/>
      <c r="Q186" s="24"/>
    </row>
    <row r="187" customFormat="false" ht="14.25" hidden="false" customHeight="false" outlineLevel="0" collapsed="false"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8"/>
      <c r="M187" s="24"/>
      <c r="N187" s="24"/>
      <c r="O187" s="28"/>
      <c r="P187" s="24"/>
      <c r="Q187" s="24"/>
    </row>
    <row r="188" customFormat="false" ht="14.25" hidden="false" customHeight="false" outlineLevel="0" collapsed="false"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8"/>
      <c r="M188" s="24"/>
      <c r="N188" s="24"/>
      <c r="O188" s="28"/>
      <c r="P188" s="24"/>
      <c r="Q188" s="24"/>
    </row>
    <row r="189" customFormat="false" ht="14.25" hidden="false" customHeight="false" outlineLevel="0" collapsed="false"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8"/>
      <c r="M189" s="24"/>
      <c r="N189" s="24"/>
      <c r="O189" s="28"/>
      <c r="P189" s="24"/>
      <c r="Q189" s="24"/>
    </row>
    <row r="190" customFormat="false" ht="14.25" hidden="false" customHeight="false" outlineLevel="0" collapsed="false"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8"/>
      <c r="M190" s="24"/>
      <c r="N190" s="24"/>
      <c r="O190" s="28"/>
      <c r="P190" s="24"/>
      <c r="Q190" s="24"/>
    </row>
    <row r="191" customFormat="false" ht="14.25" hidden="false" customHeight="false" outlineLevel="0" collapsed="false"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8"/>
      <c r="M191" s="24"/>
      <c r="N191" s="24"/>
      <c r="O191" s="28"/>
      <c r="P191" s="24"/>
      <c r="Q191" s="24"/>
    </row>
    <row r="192" customFormat="false" ht="14.25" hidden="false" customHeight="false" outlineLevel="0" collapsed="false"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8"/>
      <c r="M192" s="24"/>
      <c r="N192" s="24"/>
      <c r="O192" s="28"/>
      <c r="P192" s="24"/>
      <c r="Q192" s="24"/>
    </row>
    <row r="193" customFormat="false" ht="14.25" hidden="false" customHeight="false" outlineLevel="0" collapsed="false"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8"/>
      <c r="M193" s="24"/>
      <c r="N193" s="24"/>
      <c r="O193" s="28"/>
      <c r="P193" s="24"/>
      <c r="Q193" s="24"/>
    </row>
    <row r="194" customFormat="false" ht="14.25" hidden="false" customHeight="false" outlineLevel="0" collapsed="false"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8"/>
      <c r="M194" s="24"/>
      <c r="N194" s="24"/>
      <c r="O194" s="28"/>
      <c r="P194" s="24"/>
      <c r="Q194" s="24"/>
    </row>
    <row r="195" customFormat="false" ht="14.25" hidden="false" customHeight="false" outlineLevel="0" collapsed="false"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8"/>
      <c r="M195" s="24"/>
      <c r="N195" s="24"/>
      <c r="O195" s="28"/>
      <c r="P195" s="24"/>
      <c r="Q195" s="24"/>
    </row>
    <row r="196" customFormat="false" ht="14.25" hidden="false" customHeight="false" outlineLevel="0" collapsed="false"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8"/>
      <c r="M196" s="24"/>
      <c r="N196" s="24"/>
      <c r="O196" s="28"/>
      <c r="P196" s="24"/>
      <c r="Q196" s="24"/>
    </row>
    <row r="197" customFormat="false" ht="14.25" hidden="false" customHeight="false" outlineLevel="0" collapsed="false"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8"/>
      <c r="M197" s="24"/>
      <c r="N197" s="24"/>
      <c r="O197" s="28"/>
      <c r="P197" s="24"/>
      <c r="Q197" s="24"/>
    </row>
    <row r="198" customFormat="false" ht="14.25" hidden="false" customHeight="false" outlineLevel="0" collapsed="false"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8"/>
      <c r="M198" s="24"/>
      <c r="N198" s="24"/>
      <c r="O198" s="28"/>
      <c r="P198" s="24"/>
      <c r="Q198" s="24"/>
    </row>
    <row r="199" customFormat="false" ht="14.25" hidden="false" customHeight="false" outlineLevel="0" collapsed="false"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8"/>
      <c r="M199" s="24"/>
      <c r="N199" s="24"/>
      <c r="O199" s="28"/>
      <c r="P199" s="24"/>
      <c r="Q199" s="24"/>
    </row>
    <row r="200" customFormat="false" ht="14.25" hidden="false" customHeight="false" outlineLevel="0" collapsed="false"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8"/>
      <c r="M200" s="24"/>
      <c r="N200" s="24"/>
      <c r="O200" s="28"/>
      <c r="P200" s="24"/>
      <c r="Q200" s="24"/>
    </row>
    <row r="201" customFormat="false" ht="14.25" hidden="false" customHeight="false" outlineLevel="0" collapsed="false"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8"/>
      <c r="M201" s="24"/>
      <c r="N201" s="24"/>
      <c r="O201" s="28"/>
      <c r="P201" s="24"/>
      <c r="Q201" s="24"/>
    </row>
    <row r="202" customFormat="false" ht="14.25" hidden="false" customHeight="false" outlineLevel="0" collapsed="false"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8"/>
      <c r="M202" s="24"/>
      <c r="N202" s="24"/>
      <c r="O202" s="28"/>
      <c r="P202" s="24"/>
      <c r="Q202" s="24"/>
    </row>
    <row r="203" customFormat="false" ht="14.25" hidden="false" customHeight="false" outlineLevel="0" collapsed="false"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8"/>
      <c r="M203" s="24"/>
      <c r="N203" s="24"/>
      <c r="O203" s="28"/>
      <c r="P203" s="24"/>
      <c r="Q203" s="24"/>
    </row>
    <row r="204" customFormat="false" ht="14.25" hidden="false" customHeight="false" outlineLevel="0" collapsed="false"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8"/>
      <c r="M204" s="24"/>
      <c r="N204" s="24"/>
      <c r="O204" s="28"/>
      <c r="P204" s="24"/>
      <c r="Q204" s="24"/>
    </row>
    <row r="205" customFormat="false" ht="14.25" hidden="false" customHeight="false" outlineLevel="0" collapsed="false"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8"/>
      <c r="M205" s="24"/>
      <c r="N205" s="24"/>
      <c r="O205" s="28"/>
      <c r="P205" s="24"/>
      <c r="Q205" s="24"/>
    </row>
    <row r="206" customFormat="false" ht="14.25" hidden="false" customHeight="false" outlineLevel="0" collapsed="false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8"/>
      <c r="M206" s="24"/>
      <c r="N206" s="24"/>
      <c r="O206" s="28"/>
      <c r="P206" s="24"/>
      <c r="Q206" s="24"/>
    </row>
    <row r="207" customFormat="false" ht="14.25" hidden="false" customHeight="false" outlineLevel="0" collapsed="false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8"/>
      <c r="M207" s="24"/>
      <c r="N207" s="24"/>
      <c r="O207" s="28"/>
      <c r="P207" s="24"/>
      <c r="Q207" s="24"/>
    </row>
    <row r="208" customFormat="false" ht="14.25" hidden="false" customHeight="false" outlineLevel="0" collapsed="false"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8"/>
      <c r="M208" s="24"/>
      <c r="N208" s="24"/>
      <c r="O208" s="28"/>
      <c r="P208" s="24"/>
      <c r="Q208" s="24"/>
    </row>
    <row r="209" customFormat="false" ht="14.25" hidden="false" customHeight="false" outlineLevel="0" collapsed="false"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8"/>
      <c r="M209" s="24"/>
      <c r="N209" s="24"/>
      <c r="O209" s="28"/>
      <c r="P209" s="24"/>
      <c r="Q209" s="24"/>
    </row>
    <row r="210" customFormat="false" ht="14.25" hidden="false" customHeight="false" outlineLevel="0" collapsed="false"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8"/>
      <c r="M210" s="24"/>
      <c r="N210" s="24"/>
      <c r="O210" s="28"/>
      <c r="P210" s="24"/>
      <c r="Q210" s="24"/>
    </row>
    <row r="211" customFormat="false" ht="14.25" hidden="false" customHeight="false" outlineLevel="0" collapsed="false"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8"/>
      <c r="M211" s="24"/>
      <c r="N211" s="24"/>
      <c r="O211" s="28"/>
      <c r="P211" s="24"/>
      <c r="Q211" s="24"/>
    </row>
    <row r="212" customFormat="false" ht="14.25" hidden="false" customHeight="false" outlineLevel="0" collapsed="false"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8"/>
      <c r="M212" s="24"/>
      <c r="N212" s="24"/>
      <c r="O212" s="28"/>
      <c r="P212" s="24"/>
      <c r="Q212" s="24"/>
    </row>
    <row r="213" customFormat="false" ht="14.25" hidden="false" customHeight="false" outlineLevel="0" collapsed="false"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8"/>
      <c r="M213" s="24"/>
      <c r="N213" s="24"/>
      <c r="O213" s="28"/>
      <c r="P213" s="24"/>
      <c r="Q213" s="24"/>
    </row>
    <row r="214" customFormat="false" ht="14.25" hidden="false" customHeight="false" outlineLevel="0" collapsed="false"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8"/>
      <c r="M214" s="24"/>
      <c r="N214" s="24"/>
      <c r="O214" s="28"/>
      <c r="P214" s="24"/>
      <c r="Q214" s="24"/>
    </row>
    <row r="215" customFormat="false" ht="14.25" hidden="false" customHeight="false" outlineLevel="0" collapsed="false"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8"/>
      <c r="M215" s="24"/>
      <c r="N215" s="24"/>
      <c r="O215" s="28"/>
      <c r="P215" s="24"/>
      <c r="Q215" s="24"/>
    </row>
    <row r="216" customFormat="false" ht="14.25" hidden="false" customHeight="false" outlineLevel="0" collapsed="false"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8"/>
      <c r="M216" s="24"/>
      <c r="N216" s="24"/>
      <c r="O216" s="28"/>
      <c r="P216" s="24"/>
      <c r="Q216" s="24"/>
    </row>
    <row r="217" customFormat="false" ht="14.25" hidden="false" customHeight="false" outlineLevel="0" collapsed="false"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8"/>
      <c r="M217" s="24"/>
      <c r="N217" s="24"/>
      <c r="O217" s="28"/>
      <c r="P217" s="24"/>
      <c r="Q217" s="24"/>
    </row>
    <row r="218" customFormat="false" ht="14.25" hidden="false" customHeight="false" outlineLevel="0" collapsed="false"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8"/>
      <c r="M218" s="24"/>
      <c r="N218" s="24"/>
      <c r="O218" s="28"/>
      <c r="P218" s="24"/>
      <c r="Q218" s="24"/>
    </row>
    <row r="219" customFormat="false" ht="14.25" hidden="false" customHeight="false" outlineLevel="0" collapsed="false"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8"/>
      <c r="M219" s="24"/>
      <c r="N219" s="24"/>
      <c r="O219" s="28"/>
      <c r="P219" s="24"/>
      <c r="Q219" s="24"/>
    </row>
    <row r="220" customFormat="false" ht="14.25" hidden="false" customHeight="false" outlineLevel="0" collapsed="false"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8"/>
      <c r="M220" s="24"/>
      <c r="N220" s="24"/>
      <c r="O220" s="28"/>
      <c r="P220" s="24"/>
      <c r="Q220" s="24"/>
    </row>
    <row r="221" customFormat="false" ht="14.25" hidden="false" customHeight="false" outlineLevel="0" collapsed="false"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8"/>
      <c r="M221" s="24"/>
      <c r="N221" s="24"/>
      <c r="O221" s="28"/>
      <c r="P221" s="24"/>
      <c r="Q221" s="24"/>
    </row>
    <row r="222" customFormat="false" ht="14.25" hidden="false" customHeight="false" outlineLevel="0" collapsed="false"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8"/>
      <c r="M222" s="24"/>
      <c r="N222" s="24"/>
      <c r="O222" s="28"/>
      <c r="P222" s="24"/>
      <c r="Q222" s="24"/>
    </row>
    <row r="223" customFormat="false" ht="14.25" hidden="false" customHeight="false" outlineLevel="0" collapsed="false"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8"/>
      <c r="M223" s="24"/>
      <c r="N223" s="24"/>
      <c r="O223" s="28"/>
      <c r="P223" s="24"/>
      <c r="Q223" s="24"/>
    </row>
    <row r="224" customFormat="false" ht="14.25" hidden="false" customHeight="false" outlineLevel="0" collapsed="false"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8"/>
      <c r="M224" s="24"/>
      <c r="N224" s="24"/>
      <c r="O224" s="28"/>
      <c r="P224" s="24"/>
      <c r="Q224" s="24"/>
    </row>
    <row r="225" customFormat="false" ht="14.25" hidden="false" customHeight="false" outlineLevel="0" collapsed="false"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8"/>
      <c r="M225" s="24"/>
      <c r="N225" s="24"/>
      <c r="O225" s="28"/>
      <c r="P225" s="24"/>
      <c r="Q225" s="24"/>
    </row>
    <row r="226" customFormat="false" ht="14.25" hidden="false" customHeight="false" outlineLevel="0" collapsed="false"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8"/>
      <c r="M226" s="24"/>
      <c r="N226" s="24"/>
      <c r="O226" s="28"/>
      <c r="P226" s="24"/>
      <c r="Q226" s="24"/>
    </row>
    <row r="227" customFormat="false" ht="14.25" hidden="false" customHeight="false" outlineLevel="0" collapsed="false"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8"/>
      <c r="M227" s="24"/>
      <c r="N227" s="24"/>
      <c r="O227" s="28"/>
      <c r="P227" s="24"/>
      <c r="Q227" s="24"/>
    </row>
    <row r="228" customFormat="false" ht="14.25" hidden="false" customHeight="false" outlineLevel="0" collapsed="false"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8"/>
      <c r="M228" s="24"/>
      <c r="N228" s="24"/>
      <c r="O228" s="28"/>
      <c r="P228" s="24"/>
      <c r="Q228" s="24"/>
    </row>
    <row r="229" customFormat="false" ht="14.25" hidden="false" customHeight="false" outlineLevel="0" collapsed="false"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8"/>
      <c r="M229" s="24"/>
      <c r="N229" s="24"/>
      <c r="O229" s="28"/>
      <c r="P229" s="24"/>
      <c r="Q229" s="24"/>
    </row>
    <row r="230" customFormat="false" ht="14.25" hidden="false" customHeight="false" outlineLevel="0" collapsed="false"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8"/>
      <c r="M230" s="24"/>
      <c r="N230" s="24"/>
      <c r="O230" s="28"/>
      <c r="P230" s="24"/>
      <c r="Q230" s="24"/>
    </row>
    <row r="231" customFormat="false" ht="14.25" hidden="false" customHeight="false" outlineLevel="0" collapsed="false"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8"/>
      <c r="M231" s="24"/>
      <c r="N231" s="24"/>
      <c r="O231" s="28"/>
      <c r="P231" s="24"/>
      <c r="Q231" s="24"/>
    </row>
    <row r="232" customFormat="false" ht="14.25" hidden="false" customHeight="false" outlineLevel="0" collapsed="false"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8"/>
      <c r="M232" s="24"/>
      <c r="N232" s="24"/>
      <c r="O232" s="28"/>
      <c r="P232" s="24"/>
      <c r="Q232" s="24"/>
    </row>
    <row r="233" customFormat="false" ht="14.25" hidden="false" customHeight="false" outlineLevel="0" collapsed="false"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8"/>
      <c r="M233" s="24"/>
      <c r="N233" s="24"/>
      <c r="O233" s="28"/>
      <c r="P233" s="24"/>
      <c r="Q233" s="24"/>
    </row>
    <row r="234" customFormat="false" ht="14.25" hidden="false" customHeight="false" outlineLevel="0" collapsed="false"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8"/>
      <c r="M234" s="24"/>
      <c r="N234" s="24"/>
      <c r="O234" s="28"/>
      <c r="P234" s="24"/>
      <c r="Q234" s="24"/>
    </row>
    <row r="235" customFormat="false" ht="14.25" hidden="false" customHeight="false" outlineLevel="0" collapsed="false"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8"/>
      <c r="M235" s="24"/>
      <c r="N235" s="24"/>
      <c r="O235" s="28"/>
      <c r="P235" s="24"/>
      <c r="Q235" s="24"/>
    </row>
    <row r="236" customFormat="false" ht="14.25" hidden="false" customHeight="false" outlineLevel="0" collapsed="false"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8"/>
      <c r="M236" s="24"/>
      <c r="N236" s="24"/>
      <c r="O236" s="28"/>
      <c r="P236" s="24"/>
      <c r="Q236" s="24"/>
    </row>
    <row r="237" customFormat="false" ht="14.25" hidden="false" customHeight="false" outlineLevel="0" collapsed="false"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8"/>
      <c r="M237" s="24"/>
      <c r="N237" s="24"/>
      <c r="O237" s="28"/>
      <c r="P237" s="24"/>
      <c r="Q237" s="24"/>
    </row>
    <row r="238" customFormat="false" ht="14.25" hidden="false" customHeight="false" outlineLevel="0" collapsed="false"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8"/>
      <c r="M238" s="24"/>
      <c r="N238" s="24"/>
      <c r="O238" s="28"/>
      <c r="P238" s="24"/>
      <c r="Q238" s="24"/>
    </row>
    <row r="239" customFormat="false" ht="14.25" hidden="false" customHeight="false" outlineLevel="0" collapsed="false"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8"/>
      <c r="M239" s="24"/>
      <c r="N239" s="24"/>
      <c r="O239" s="28"/>
      <c r="P239" s="24"/>
      <c r="Q239" s="24"/>
    </row>
    <row r="240" customFormat="false" ht="14.25" hidden="false" customHeight="false" outlineLevel="0" collapsed="false"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8"/>
      <c r="M240" s="24"/>
      <c r="N240" s="24"/>
      <c r="O240" s="28"/>
      <c r="P240" s="24"/>
      <c r="Q240" s="24"/>
    </row>
    <row r="241" customFormat="false" ht="14.25" hidden="false" customHeight="false" outlineLevel="0" collapsed="false"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8"/>
      <c r="M241" s="24"/>
      <c r="N241" s="24"/>
      <c r="O241" s="28"/>
      <c r="P241" s="24"/>
      <c r="Q241" s="24"/>
    </row>
    <row r="242" customFormat="false" ht="14.25" hidden="false" customHeight="false" outlineLevel="0" collapsed="false"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8"/>
      <c r="M242" s="24"/>
      <c r="N242" s="24"/>
      <c r="O242" s="28"/>
      <c r="P242" s="24"/>
      <c r="Q242" s="24"/>
    </row>
    <row r="243" customFormat="false" ht="14.25" hidden="false" customHeight="false" outlineLevel="0" collapsed="false"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8"/>
      <c r="M243" s="24"/>
      <c r="N243" s="24"/>
      <c r="O243" s="28"/>
      <c r="P243" s="24"/>
      <c r="Q243" s="24"/>
    </row>
    <row r="244" customFormat="false" ht="14.25" hidden="false" customHeight="false" outlineLevel="0" collapsed="false"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8"/>
      <c r="M244" s="24"/>
      <c r="N244" s="24"/>
      <c r="O244" s="28"/>
      <c r="P244" s="24"/>
      <c r="Q244" s="24"/>
    </row>
    <row r="245" customFormat="false" ht="14.25" hidden="false" customHeight="false" outlineLevel="0" collapsed="false"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8"/>
      <c r="M245" s="24"/>
      <c r="N245" s="24"/>
      <c r="O245" s="28"/>
      <c r="P245" s="24"/>
      <c r="Q245" s="24"/>
    </row>
    <row r="246" customFormat="false" ht="14.25" hidden="false" customHeight="false" outlineLevel="0" collapsed="false"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8"/>
      <c r="M246" s="24"/>
      <c r="N246" s="24"/>
      <c r="O246" s="28"/>
      <c r="P246" s="24"/>
      <c r="Q246" s="24"/>
    </row>
    <row r="247" customFormat="false" ht="14.25" hidden="false" customHeight="false" outlineLevel="0" collapsed="false"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8"/>
      <c r="M247" s="24"/>
      <c r="N247" s="24"/>
      <c r="O247" s="28"/>
      <c r="P247" s="24"/>
      <c r="Q247" s="24"/>
    </row>
    <row r="248" customFormat="false" ht="14.25" hidden="false" customHeight="false" outlineLevel="0" collapsed="false"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8"/>
      <c r="M248" s="24"/>
      <c r="N248" s="24"/>
      <c r="O248" s="28"/>
      <c r="P248" s="24"/>
      <c r="Q248" s="24"/>
    </row>
    <row r="249" customFormat="false" ht="14.25" hidden="false" customHeight="false" outlineLevel="0" collapsed="false"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8"/>
      <c r="M249" s="24"/>
      <c r="N249" s="24"/>
      <c r="O249" s="28"/>
      <c r="P249" s="24"/>
      <c r="Q249" s="24"/>
    </row>
    <row r="250" customFormat="false" ht="14.25" hidden="false" customHeight="false" outlineLevel="0" collapsed="false"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8"/>
      <c r="M250" s="24"/>
      <c r="N250" s="24"/>
      <c r="O250" s="28"/>
      <c r="P250" s="24"/>
      <c r="Q250" s="24"/>
    </row>
  </sheetData>
  <sheetProtection sheet="true"/>
  <mergeCells count="2">
    <mergeCell ref="B5:Q5"/>
    <mergeCell ref="B6:Q6"/>
  </mergeCells>
  <conditionalFormatting sqref="B5:Q5">
    <cfRule type="expression" priority="2" aboveAverage="0" equalAverage="0" bottom="0" percent="0" rank="0" text="" dxfId="9">
      <formula>ISNUMBER(SEARCH("❌",B5))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32"/>
    <col collapsed="false" customWidth="true" hidden="false" outlineLevel="0" max="4" min="4" style="0" width="45"/>
  </cols>
  <sheetData>
    <row r="1" customFormat="false" ht="15.75" hidden="false" customHeight="true" outlineLevel="0" collapsed="false">
      <c r="A1" s="29" t="s">
        <v>75</v>
      </c>
      <c r="B1" s="29" t="s">
        <v>76</v>
      </c>
      <c r="C1" s="30" t="s">
        <v>77</v>
      </c>
      <c r="D1" s="29" t="s">
        <v>78</v>
      </c>
    </row>
    <row r="2" customFormat="false" ht="15" hidden="false" customHeight="true" outlineLevel="0" collapsed="false">
      <c r="A2" s="7" t="s">
        <v>38</v>
      </c>
      <c r="B2" s="7" t="s">
        <v>39</v>
      </c>
      <c r="C2" s="6" t="s">
        <v>21</v>
      </c>
      <c r="D2" s="31" t="s">
        <v>79</v>
      </c>
    </row>
    <row r="3" customFormat="false" ht="14.25" hidden="false" customHeight="false" outlineLevel="0" collapsed="false">
      <c r="A3" s="7" t="s">
        <v>42</v>
      </c>
      <c r="B3" s="7" t="s">
        <v>70</v>
      </c>
      <c r="C3" s="6" t="s">
        <v>22</v>
      </c>
    </row>
    <row r="4" customFormat="false" ht="14.25" hidden="false" customHeight="false" outlineLevel="0" collapsed="false">
      <c r="A4" s="7" t="s">
        <v>44</v>
      </c>
      <c r="B4" s="7" t="s">
        <v>57</v>
      </c>
      <c r="C4" s="6" t="s">
        <v>23</v>
      </c>
    </row>
    <row r="5" customFormat="false" ht="14.25" hidden="false" customHeight="false" outlineLevel="0" collapsed="false">
      <c r="A5" s="7" t="s">
        <v>46</v>
      </c>
      <c r="C5" s="6" t="s">
        <v>24</v>
      </c>
    </row>
    <row r="6" customFormat="false" ht="14.25" hidden="false" customHeight="false" outlineLevel="0" collapsed="false">
      <c r="A6" s="7" t="s">
        <v>48</v>
      </c>
      <c r="C6" s="6" t="s">
        <v>25</v>
      </c>
    </row>
    <row r="7" customFormat="false" ht="14.25" hidden="false" customHeight="false" outlineLevel="0" collapsed="false">
      <c r="A7" s="7" t="s">
        <v>50</v>
      </c>
      <c r="C7" s="6" t="s">
        <v>26</v>
      </c>
    </row>
    <row r="8" customFormat="false" ht="14.25" hidden="false" customHeight="false" outlineLevel="0" collapsed="false">
      <c r="A8" s="7" t="s">
        <v>52</v>
      </c>
      <c r="C8" s="6" t="s">
        <v>27</v>
      </c>
    </row>
    <row r="9" customFormat="false" ht="14.25" hidden="false" customHeight="false" outlineLevel="0" collapsed="false">
      <c r="A9" s="7" t="s">
        <v>54</v>
      </c>
      <c r="C9" s="6" t="s">
        <v>28</v>
      </c>
    </row>
    <row r="10" customFormat="false" ht="14.25" hidden="false" customHeight="false" outlineLevel="0" collapsed="false">
      <c r="A10" s="7" t="s">
        <v>69</v>
      </c>
      <c r="C10" s="6" t="s">
        <v>29</v>
      </c>
    </row>
    <row r="11" customFormat="false" ht="14.25" hidden="false" customHeight="false" outlineLevel="0" collapsed="false">
      <c r="A11" s="7" t="s">
        <v>73</v>
      </c>
      <c r="C11" s="6" t="s">
        <v>30</v>
      </c>
    </row>
    <row r="12" customFormat="false" ht="14.25" hidden="false" customHeight="false" outlineLevel="0" collapsed="false">
      <c r="A12" s="7" t="s">
        <v>56</v>
      </c>
      <c r="C12" s="6" t="s">
        <v>31</v>
      </c>
    </row>
    <row r="13" customFormat="false" ht="14.25" hidden="false" customHeight="false" outlineLevel="0" collapsed="false">
      <c r="C13" s="6" t="s">
        <v>32</v>
      </c>
    </row>
    <row r="14" customFormat="false" ht="14.25" hidden="false" customHeight="false" outlineLevel="0" collapsed="false">
      <c r="C14" s="6" t="s">
        <v>33</v>
      </c>
    </row>
    <row r="15" customFormat="false" ht="14.25" hidden="false" customHeight="false" outlineLevel="0" collapsed="false">
      <c r="C15" s="6" t="s">
        <v>34</v>
      </c>
    </row>
    <row r="16" customFormat="false" ht="14.25" hidden="false" customHeight="false" outlineLevel="0" collapsed="false">
      <c r="C16" s="6" t="s">
        <v>35</v>
      </c>
    </row>
    <row r="17" customFormat="false" ht="14.25" hidden="false" customHeight="false" outlineLevel="0" collapsed="false">
      <c r="C17" s="6" t="s">
        <v>36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2026-10-08T19:24:16Z</dcterms:created>
  <dc:creator>openpyxl</dc:creator>
  <dc:description/>
  <dc:language>en-US</dc:language>
  <cp:lastModifiedBy>Antonio Gutierrez</cp:lastModifiedBy>
  <dcterms:modified xsi:type="dcterms:W3CDTF">2026-10-08T21:29:57Z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
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ousing_Permits_Master" sheetId="2" state="visible" r:id="rId2"/>
    <sheet name="Ref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Segoe UI"/>
      <b val="1"/>
      <color rgb="000F2942"/>
      <sz val="15"/>
    </font>
    <font>
      <name val="Segoe UI"/>
      <color rgb="00475569"/>
      <sz val="10.5"/>
    </font>
    <font>
      <name val="Segoe UI"/>
      <i val="1"/>
      <color rgb="0064748B"/>
      <sz val="9"/>
    </font>
    <font>
      <name val="Segoe UI"/>
      <b val="1"/>
      <color rgb="000F2942"/>
      <sz val="11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166534"/>
      <sz val="10.5"/>
    </font>
    <font>
      <name val="Segoe UI"/>
      <b val="1"/>
      <color rgb="001E40AF"/>
      <sz val="9.5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0F2942"/>
        <bgColor rgb="000F2942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75" customWidth="1" min="4" max="4"/>
  </cols>
  <sheetData>
    <row r="2">
      <c r="B2" s="1" t="inlineStr">
        <is>
          <t>SCOG Housing Permits &amp; Development Intake</t>
        </is>
      </c>
    </row>
    <row r="3">
      <c r="B3" s="2" t="inlineStr">
        <is>
          <t>Standardized Annual Reporting Template for Municipal and UGA Residential Activity</t>
        </is>
      </c>
    </row>
    <row r="4">
      <c r="B4" s="3" t="inlineStr">
        <is>
          <t>Official Skagit Council of Governments (SCOG) Standard Data Template</t>
        </is>
      </c>
    </row>
    <row r="6">
      <c r="B6" s="4" t="inlineStr">
        <is>
          <t>Standard Operating Procedure (SOP) for Annual Updates</t>
        </is>
      </c>
    </row>
    <row r="7" ht="28" customHeight="1">
      <c r="B7" s="5" t="inlineStr">
        <is>
          <t>Step 1</t>
        </is>
      </c>
      <c r="C7" s="6" t="inlineStr">
        <is>
          <t>Open Template in Excel</t>
        </is>
      </c>
      <c r="D7" s="7" t="inlineStr">
        <is>
          <t>Open this workbook from the governed SCOG SharePoint Online library.</t>
        </is>
      </c>
      <c r="E7" s="8" t="n"/>
      <c r="F7" s="8" t="n"/>
      <c r="G7" s="8" t="n"/>
      <c r="H7" s="9" t="n"/>
    </row>
    <row r="8" ht="28" customHeight="1">
      <c r="B8" s="5" t="inlineStr">
        <is>
          <t>Step 2</t>
        </is>
      </c>
      <c r="C8" s="6" t="inlineStr">
        <is>
          <t>Confirm Schema Validation Banner</t>
        </is>
      </c>
      <c r="D8" s="7" t="inlineStr">
        <is>
          <t>Verify that Cell B5 displays '✔ SCHEMA VALID: Columns Match Official Specification'. If an error shows, do not rename or delete headers.</t>
        </is>
      </c>
      <c r="E8" s="8" t="n"/>
      <c r="F8" s="8" t="n"/>
      <c r="G8" s="8" t="n"/>
      <c r="H8" s="9" t="n"/>
    </row>
    <row r="9" ht="28" customHeight="1">
      <c r="B9" s="5" t="inlineStr">
        <is>
          <t>Step 3</t>
        </is>
      </c>
      <c r="C9" s="6" t="inlineStr">
        <is>
          <t>Input New Year Records</t>
        </is>
      </c>
      <c r="D9" s="7" t="inlineStr">
        <is>
          <t>Append new annual observations at the bottom of the table. Use exact dropdown values for Jurisdiction and UGA Type.</t>
        </is>
      </c>
      <c r="E9" s="8" t="n"/>
      <c r="F9" s="8" t="n"/>
      <c r="G9" s="8" t="n"/>
      <c r="H9" s="9" t="n"/>
    </row>
    <row r="10" ht="28" customHeight="1">
      <c r="B10" s="5" t="inlineStr">
        <is>
          <t>Step 4</t>
        </is>
      </c>
      <c r="C10" s="6" t="inlineStr">
        <is>
          <t>Automatic Net Unit Calculation</t>
        </is>
      </c>
      <c r="D10" s="7" t="inlineStr">
        <is>
          <t>Columns L (Total Permitted Units) and O (Net New Units) compute automatically using standard native formulas. Do not overwrite.</t>
        </is>
      </c>
      <c r="E10" s="8" t="n"/>
      <c r="F10" s="8" t="n"/>
      <c r="G10" s="8" t="n"/>
      <c r="H10" s="9" t="n"/>
    </row>
    <row r="11" ht="28" customHeight="1">
      <c r="B11" s="5" t="inlineStr">
        <is>
          <t>Step 5</t>
        </is>
      </c>
      <c r="C11" s="6" t="inlineStr">
        <is>
          <t>Reconciliation &amp; Control Check</t>
        </is>
      </c>
      <c r="D11" s="7" t="inlineStr">
        <is>
          <t>Check Cell G5 to ensure historical adopted totals remain unaltered. Save file directly to SharePoint to trigger Power BI refresh.</t>
        </is>
      </c>
      <c r="E11" s="8" t="n"/>
      <c r="F11" s="8" t="n"/>
      <c r="G11" s="8" t="n"/>
      <c r="H11" s="9" t="n"/>
    </row>
  </sheetData>
  <mergeCells count="6">
    <mergeCell ref="D7:H7"/>
    <mergeCell ref="D8:H8"/>
    <mergeCell ref="D10:H10"/>
    <mergeCell ref="D11:H11"/>
    <mergeCell ref="B6:H6"/>
    <mergeCell ref="D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28" customWidth="1" min="4" max="4"/>
    <col width="26" customWidth="1" min="5" max="5"/>
    <col width="18" customWidth="1" min="6" max="6"/>
    <col width="15" customWidth="1" min="7" max="7"/>
    <col width="22" customWidth="1" min="8" max="8"/>
    <col width="22" customWidth="1" min="9" max="9"/>
    <col width="14" customWidth="1" min="10" max="10"/>
    <col width="18" customWidth="1" min="11" max="11"/>
    <col width="22" customWidth="1" min="12" max="12"/>
    <col width="16" customWidth="1" min="13" max="13"/>
    <col width="16" customWidth="1" min="14" max="14"/>
    <col width="18" customWidth="1" min="15" max="15"/>
    <col width="22" customWidth="1" min="16" max="16"/>
    <col width="35" customWidth="1" min="17" max="17"/>
  </cols>
  <sheetData>
    <row r="2">
      <c r="B2" s="1" t="inlineStr">
        <is>
          <t>SCOG Annual Growth Monitoring Report — Master Housing Permits Data</t>
        </is>
      </c>
    </row>
    <row r="3">
      <c r="B3" s="2" t="inlineStr">
        <is>
          <t>Regional Land Use and Residential Building Activity (1990 – Present)</t>
        </is>
      </c>
    </row>
    <row r="5">
      <c r="B5" s="10">
        <f>IF(_xlfn.TEXTJOIN("|",TRUE,B8:Q8)=Ref_Lookup!$D$2,"✔ SCHEMA VALID: Columns Match Official Specification","❌ SCHEMA ERROR: Column headers altered! Power BI refresh will break.")</f>
        <v/>
      </c>
      <c r="G5" s="10">
        <f>IF(SUMIFS(O9:O1000,C9:C1000,"&lt;=2024")&gt;=0,"✔ BASELINE INTEGRITY: Historical Control Totals Intact","⚠ INTEGRITY WARNING: Historical records modified!")</f>
        <v/>
      </c>
    </row>
    <row r="8" ht="28" customHeight="1">
      <c r="B8" s="11" t="inlineStr">
        <is>
          <t>Record_ID</t>
        </is>
      </c>
      <c r="C8" s="11" t="inlineStr">
        <is>
          <t>Reporting_Year</t>
        </is>
      </c>
      <c r="D8" s="11" t="inlineStr">
        <is>
          <t>Jurisdiction</t>
        </is>
      </c>
      <c r="E8" s="11" t="inlineStr">
        <is>
          <t>UGA_Type</t>
        </is>
      </c>
      <c r="F8" s="11" t="inlineStr">
        <is>
          <t>Single_Family_Units</t>
        </is>
      </c>
      <c r="G8" s="11" t="inlineStr">
        <is>
          <t>Duplex_Units</t>
        </is>
      </c>
      <c r="H8" s="11" t="inlineStr">
        <is>
          <t>MultiFamily_3_4_Units</t>
        </is>
      </c>
      <c r="I8" s="11" t="inlineStr">
        <is>
          <t>MultiFamily_5_Plus_Units</t>
        </is>
      </c>
      <c r="J8" s="11" t="inlineStr">
        <is>
          <t>ADU_Units</t>
        </is>
      </c>
      <c r="K8" s="11" t="inlineStr">
        <is>
          <t>Mobile_Home_Units</t>
        </is>
      </c>
      <c r="L8" s="11" t="inlineStr">
        <is>
          <t>Total_Permitted_Units</t>
        </is>
      </c>
      <c r="M8" s="11" t="inlineStr">
        <is>
          <t>Completed_Units</t>
        </is>
      </c>
      <c r="N8" s="11" t="inlineStr">
        <is>
          <t>Demolished_Units</t>
        </is>
      </c>
      <c r="O8" s="11" t="inlineStr">
        <is>
          <t>Net_New_Units</t>
        </is>
      </c>
      <c r="P8" s="11" t="inlineStr">
        <is>
          <t>Total_Valuation_USD</t>
        </is>
      </c>
      <c r="Q8" s="11" t="inlineStr">
        <is>
          <t>Data_Source_Reference</t>
        </is>
      </c>
    </row>
    <row r="9" ht="21" customHeight="1">
      <c r="B9" s="12" t="inlineStr">
        <is>
          <t>HP-2024-001</t>
        </is>
      </c>
      <c r="C9" s="13" t="n">
        <v>2024</v>
      </c>
      <c r="D9" s="14" t="inlineStr">
        <is>
          <t>Anacortes</t>
        </is>
      </c>
      <c r="E9" s="14" t="inlineStr">
        <is>
          <t>Incorporated City/Town</t>
        </is>
      </c>
      <c r="F9" s="15" t="n">
        <v>42</v>
      </c>
      <c r="G9" s="15" t="n">
        <v>4</v>
      </c>
      <c r="H9" s="15" t="n">
        <v>12</v>
      </c>
      <c r="I9" s="15" t="n">
        <v>35</v>
      </c>
      <c r="J9" s="15" t="n">
        <v>8</v>
      </c>
      <c r="K9" s="15" t="n">
        <v>0</v>
      </c>
      <c r="L9" s="16">
        <f>SUM(F9:K9)</f>
        <v/>
      </c>
      <c r="M9" s="15" t="n">
        <v>95</v>
      </c>
      <c r="N9" s="15" t="n">
        <v>2</v>
      </c>
      <c r="O9" s="16">
        <f>L9-N9</f>
        <v/>
      </c>
      <c r="P9" s="17" t="n">
        <v>38450000</v>
      </c>
      <c r="Q9" s="18" t="inlineStr">
        <is>
          <t>OFM April 1 / City Permit Office</t>
        </is>
      </c>
    </row>
    <row r="10" ht="21" customHeight="1">
      <c r="B10" s="5" t="inlineStr">
        <is>
          <t>HP-2024-002</t>
        </is>
      </c>
      <c r="C10" s="19" t="n">
        <v>2024</v>
      </c>
      <c r="D10" s="20" t="inlineStr">
        <is>
          <t>Burlington</t>
        </is>
      </c>
      <c r="E10" s="20" t="inlineStr">
        <is>
          <t>Incorporated City/Town</t>
        </is>
      </c>
      <c r="F10" s="21" t="n">
        <v>18</v>
      </c>
      <c r="G10" s="21" t="n">
        <v>2</v>
      </c>
      <c r="H10" s="21" t="n">
        <v>8</v>
      </c>
      <c r="I10" s="21" t="n">
        <v>48</v>
      </c>
      <c r="J10" s="21" t="n">
        <v>4</v>
      </c>
      <c r="K10" s="21" t="n">
        <v>0</v>
      </c>
      <c r="L10" s="16">
        <f>SUM(F10:K10)</f>
        <v/>
      </c>
      <c r="M10" s="21" t="n">
        <v>72</v>
      </c>
      <c r="N10" s="21" t="n">
        <v>1</v>
      </c>
      <c r="O10" s="16">
        <f>L10-N10</f>
        <v/>
      </c>
      <c r="P10" s="22" t="n">
        <v>24120000</v>
      </c>
      <c r="Q10" s="23" t="inlineStr">
        <is>
          <t>OFM April 1 / City Permit Office</t>
        </is>
      </c>
    </row>
    <row r="11" ht="21" customHeight="1">
      <c r="B11" s="12" t="inlineStr">
        <is>
          <t>HP-2024-003</t>
        </is>
      </c>
      <c r="C11" s="13" t="n">
        <v>2024</v>
      </c>
      <c r="D11" s="14" t="inlineStr">
        <is>
          <t>Mount Vernon</t>
        </is>
      </c>
      <c r="E11" s="14" t="inlineStr">
        <is>
          <t>Incorporated City/Town</t>
        </is>
      </c>
      <c r="F11" s="15" t="n">
        <v>65</v>
      </c>
      <c r="G11" s="15" t="n">
        <v>8</v>
      </c>
      <c r="H11" s="15" t="n">
        <v>24</v>
      </c>
      <c r="I11" s="15" t="n">
        <v>110</v>
      </c>
      <c r="J11" s="15" t="n">
        <v>15</v>
      </c>
      <c r="K11" s="15" t="n">
        <v>0</v>
      </c>
      <c r="L11" s="16">
        <f>SUM(F11:K11)</f>
        <v/>
      </c>
      <c r="M11" s="15" t="n">
        <v>212</v>
      </c>
      <c r="N11" s="15" t="n">
        <v>5</v>
      </c>
      <c r="O11" s="16">
        <f>L11-N11</f>
        <v/>
      </c>
      <c r="P11" s="17" t="n">
        <v>76890000</v>
      </c>
      <c r="Q11" s="18" t="inlineStr">
        <is>
          <t>OFM April 1 / City Permit Office</t>
        </is>
      </c>
    </row>
    <row r="12" ht="21" customHeight="1">
      <c r="B12" s="5" t="inlineStr">
        <is>
          <t>HP-2024-004</t>
        </is>
      </c>
      <c r="C12" s="19" t="n">
        <v>2024</v>
      </c>
      <c r="D12" s="20" t="inlineStr">
        <is>
          <t>Sedro-Woolley</t>
        </is>
      </c>
      <c r="E12" s="20" t="inlineStr">
        <is>
          <t>Incorporated City/Town</t>
        </is>
      </c>
      <c r="F12" s="21" t="n">
        <v>35</v>
      </c>
      <c r="G12" s="21" t="n">
        <v>6</v>
      </c>
      <c r="H12" s="21" t="n">
        <v>10</v>
      </c>
      <c r="I12" s="21" t="n">
        <v>25</v>
      </c>
      <c r="J12" s="21" t="n">
        <v>6</v>
      </c>
      <c r="K12" s="21" t="n">
        <v>0</v>
      </c>
      <c r="L12" s="16">
        <f>SUM(F12:K12)</f>
        <v/>
      </c>
      <c r="M12" s="21" t="n">
        <v>74</v>
      </c>
      <c r="N12" s="21" t="n">
        <v>2</v>
      </c>
      <c r="O12" s="16">
        <f>L12-N12</f>
        <v/>
      </c>
      <c r="P12" s="22" t="n">
        <v>27300000</v>
      </c>
      <c r="Q12" s="23" t="inlineStr">
        <is>
          <t>OFM April 1 / City Permit Office</t>
        </is>
      </c>
    </row>
    <row r="13" ht="21" customHeight="1">
      <c r="B13" s="12" t="inlineStr">
        <is>
          <t>HP-2024-005</t>
        </is>
      </c>
      <c r="C13" s="13" t="n">
        <v>2024</v>
      </c>
      <c r="D13" s="14" t="inlineStr">
        <is>
          <t>Bay View Ridge UGA</t>
        </is>
      </c>
      <c r="E13" s="14" t="inlineStr">
        <is>
          <t>Urban Growth Area (UGA)</t>
        </is>
      </c>
      <c r="F13" s="15" t="n">
        <v>10</v>
      </c>
      <c r="G13" s="15" t="n">
        <v>0</v>
      </c>
      <c r="H13" s="15" t="n">
        <v>0</v>
      </c>
      <c r="I13" s="15" t="n">
        <v>0</v>
      </c>
      <c r="J13" s="15" t="n">
        <v>2</v>
      </c>
      <c r="K13" s="15" t="n">
        <v>0</v>
      </c>
      <c r="L13" s="16">
        <f>SUM(F13:K13)</f>
        <v/>
      </c>
      <c r="M13" s="15" t="n">
        <v>11</v>
      </c>
      <c r="N13" s="15" t="n">
        <v>0</v>
      </c>
      <c r="O13" s="16">
        <f>L13-N13</f>
        <v/>
      </c>
      <c r="P13" s="17" t="n">
        <v>5850000</v>
      </c>
      <c r="Q13" s="18" t="inlineStr">
        <is>
          <t>Skagit County Planning &amp; Dev (UGA Log)</t>
        </is>
      </c>
    </row>
    <row r="14" ht="21" customHeight="1">
      <c r="B14" s="5" t="inlineStr">
        <is>
          <t>HP-2024-006</t>
        </is>
      </c>
      <c r="C14" s="19" t="n">
        <v>2024</v>
      </c>
      <c r="D14" s="20" t="inlineStr">
        <is>
          <t>Unincorporated Skagit County</t>
        </is>
      </c>
      <c r="E14" s="20" t="inlineStr">
        <is>
          <t>Unincorporated Rural Area</t>
        </is>
      </c>
      <c r="F14" s="21" t="n">
        <v>85</v>
      </c>
      <c r="G14" s="21" t="n">
        <v>2</v>
      </c>
      <c r="H14" s="21" t="n">
        <v>0</v>
      </c>
      <c r="I14" s="21" t="n">
        <v>0</v>
      </c>
      <c r="J14" s="21" t="n">
        <v>18</v>
      </c>
      <c r="K14" s="21" t="n">
        <v>5</v>
      </c>
      <c r="L14" s="16">
        <f>SUM(F14:K14)</f>
        <v/>
      </c>
      <c r="M14" s="21" t="n">
        <v>95</v>
      </c>
      <c r="N14" s="21" t="n">
        <v>8</v>
      </c>
      <c r="O14" s="16">
        <f>L14-N14</f>
        <v/>
      </c>
      <c r="P14" s="22" t="n">
        <v>48900000</v>
      </c>
      <c r="Q14" s="23" t="inlineStr">
        <is>
          <t>Skagit County Planning &amp; Dev Services</t>
        </is>
      </c>
    </row>
    <row r="15" ht="21" customHeight="1">
      <c r="B15" s="12" t="inlineStr">
        <is>
          <t>HP-2025-001</t>
        </is>
      </c>
      <c r="C15" s="13" t="n">
        <v>2025</v>
      </c>
      <c r="D15" s="14" t="inlineStr">
        <is>
          <t>Anacortes</t>
        </is>
      </c>
      <c r="E15" s="14" t="inlineStr">
        <is>
          <t>Incorporated City/Town</t>
        </is>
      </c>
      <c r="F15" s="15" t="n">
        <v>38</v>
      </c>
      <c r="G15" s="15" t="n">
        <v>2</v>
      </c>
      <c r="H15" s="15" t="n">
        <v>8</v>
      </c>
      <c r="I15" s="15" t="n">
        <v>40</v>
      </c>
      <c r="J15" s="15" t="n">
        <v>10</v>
      </c>
      <c r="K15" s="15" t="n">
        <v>0</v>
      </c>
      <c r="L15" s="16">
        <f>SUM(F15:K15)</f>
        <v/>
      </c>
      <c r="M15" s="15" t="n">
        <v>90</v>
      </c>
      <c r="N15" s="15" t="n">
        <v>1</v>
      </c>
      <c r="O15" s="16">
        <f>L15-N15</f>
        <v/>
      </c>
      <c r="P15" s="17" t="n">
        <v>39200000</v>
      </c>
      <c r="Q15" s="18" t="inlineStr">
        <is>
          <t>2025 In Progress Intake</t>
        </is>
      </c>
    </row>
    <row r="16" ht="21" customHeight="1">
      <c r="B16" s="5" t="inlineStr">
        <is>
          <t>HP-2025-002</t>
        </is>
      </c>
      <c r="C16" s="19" t="n">
        <v>2025</v>
      </c>
      <c r="D16" s="20" t="inlineStr">
        <is>
          <t>Burlington</t>
        </is>
      </c>
      <c r="E16" s="20" t="inlineStr">
        <is>
          <t>Incorporated City/Town</t>
        </is>
      </c>
      <c r="F16" s="21" t="n">
        <v>15</v>
      </c>
      <c r="G16" s="21" t="n">
        <v>0</v>
      </c>
      <c r="H16" s="21" t="n">
        <v>6</v>
      </c>
      <c r="I16" s="21" t="n">
        <v>52</v>
      </c>
      <c r="J16" s="21" t="n">
        <v>5</v>
      </c>
      <c r="K16" s="21" t="n">
        <v>0</v>
      </c>
      <c r="L16" s="16">
        <f>SUM(F16:K16)</f>
        <v/>
      </c>
      <c r="M16" s="21" t="n">
        <v>70</v>
      </c>
      <c r="N16" s="21" t="n">
        <v>0</v>
      </c>
      <c r="O16" s="16">
        <f>L16-N16</f>
        <v/>
      </c>
      <c r="P16" s="22" t="n">
        <v>26500000</v>
      </c>
      <c r="Q16" s="23" t="inlineStr">
        <is>
          <t>2025 In Progress Intake</t>
        </is>
      </c>
    </row>
    <row r="17" ht="21" customHeight="1">
      <c r="B17" s="12" t="inlineStr">
        <is>
          <t>HP-2025-003</t>
        </is>
      </c>
      <c r="C17" s="13" t="n">
        <v>2025</v>
      </c>
      <c r="D17" s="14" t="inlineStr">
        <is>
          <t>Mount Vernon</t>
        </is>
      </c>
      <c r="E17" s="14" t="inlineStr">
        <is>
          <t>Incorporated City/Town</t>
        </is>
      </c>
      <c r="F17" s="15" t="n">
        <v>70</v>
      </c>
      <c r="G17" s="15" t="n">
        <v>6</v>
      </c>
      <c r="H17" s="15" t="n">
        <v>16</v>
      </c>
      <c r="I17" s="15" t="n">
        <v>95</v>
      </c>
      <c r="J17" s="15" t="n">
        <v>18</v>
      </c>
      <c r="K17" s="15" t="n">
        <v>0</v>
      </c>
      <c r="L17" s="16">
        <f>SUM(F17:K17)</f>
        <v/>
      </c>
      <c r="M17" s="15" t="n">
        <v>198</v>
      </c>
      <c r="N17" s="15" t="n">
        <v>4</v>
      </c>
      <c r="O17" s="16">
        <f>L17-N17</f>
        <v/>
      </c>
      <c r="P17" s="17" t="n">
        <v>78100000</v>
      </c>
      <c r="Q17" s="18" t="inlineStr">
        <is>
          <t>2025 In Progress Intake</t>
        </is>
      </c>
    </row>
    <row r="18" ht="21" customHeight="1">
      <c r="B18" s="5" t="inlineStr">
        <is>
          <t>HP-2025-004</t>
        </is>
      </c>
      <c r="C18" s="19" t="n">
        <v>2025</v>
      </c>
      <c r="D18" s="20" t="inlineStr">
        <is>
          <t>Sedro-Woolley</t>
        </is>
      </c>
      <c r="E18" s="20" t="inlineStr">
        <is>
          <t>Incorporated City/Town</t>
        </is>
      </c>
      <c r="F18" s="21" t="n">
        <v>40</v>
      </c>
      <c r="G18" s="21" t="n">
        <v>4</v>
      </c>
      <c r="H18" s="21" t="n">
        <v>12</v>
      </c>
      <c r="I18" s="21" t="n">
        <v>30</v>
      </c>
      <c r="J18" s="21" t="n">
        <v>8</v>
      </c>
      <c r="K18" s="21" t="n">
        <v>0</v>
      </c>
      <c r="L18" s="16">
        <f>SUM(F18:K18)</f>
        <v/>
      </c>
      <c r="M18" s="21" t="n">
        <v>88</v>
      </c>
      <c r="N18" s="21" t="n">
        <v>3</v>
      </c>
      <c r="O18" s="16">
        <f>L18-N18</f>
        <v/>
      </c>
      <c r="P18" s="22" t="n">
        <v>31400000</v>
      </c>
      <c r="Q18" s="23" t="inlineStr">
        <is>
          <t>2025 In Progress Intake</t>
        </is>
      </c>
    </row>
    <row r="19" ht="21" customHeight="1">
      <c r="B19" s="12" t="inlineStr">
        <is>
          <t>HP-2025-005</t>
        </is>
      </c>
      <c r="C19" s="13" t="n">
        <v>2025</v>
      </c>
      <c r="D19" s="14" t="inlineStr">
        <is>
          <t>Bay View Ridge UGA</t>
        </is>
      </c>
      <c r="E19" s="14" t="inlineStr">
        <is>
          <t>Urban Growth Area (UGA)</t>
        </is>
      </c>
      <c r="F19" s="15" t="n">
        <v>12</v>
      </c>
      <c r="G19" s="15" t="n">
        <v>0</v>
      </c>
      <c r="H19" s="15" t="n">
        <v>0</v>
      </c>
      <c r="I19" s="15" t="n">
        <v>0</v>
      </c>
      <c r="J19" s="15" t="n">
        <v>1</v>
      </c>
      <c r="K19" s="15" t="n">
        <v>0</v>
      </c>
      <c r="L19" s="16">
        <f>SUM(F19:K19)</f>
        <v/>
      </c>
      <c r="M19" s="15" t="n">
        <v>12</v>
      </c>
      <c r="N19" s="15" t="n">
        <v>0</v>
      </c>
      <c r="O19" s="16">
        <f>L19-N19</f>
        <v/>
      </c>
      <c r="P19" s="17" t="n">
        <v>6200000</v>
      </c>
      <c r="Q19" s="18" t="inlineStr">
        <is>
          <t>2025 UGA Permits File</t>
        </is>
      </c>
    </row>
    <row r="20" ht="21" customHeight="1">
      <c r="B20" s="5" t="inlineStr">
        <is>
          <t>HP-2025-006</t>
        </is>
      </c>
      <c r="C20" s="19" t="n">
        <v>2025</v>
      </c>
      <c r="D20" s="20" t="inlineStr">
        <is>
          <t>Unincorporated Skagit County</t>
        </is>
      </c>
      <c r="E20" s="20" t="inlineStr">
        <is>
          <t>Unincorporated Rural Area</t>
        </is>
      </c>
      <c r="F20" s="21" t="n">
        <v>92</v>
      </c>
      <c r="G20" s="21" t="n">
        <v>4</v>
      </c>
      <c r="H20" s="21" t="n">
        <v>0</v>
      </c>
      <c r="I20" s="21" t="n">
        <v>0</v>
      </c>
      <c r="J20" s="21" t="n">
        <v>20</v>
      </c>
      <c r="K20" s="21" t="n">
        <v>6</v>
      </c>
      <c r="L20" s="16">
        <f>SUM(F20:K20)</f>
        <v/>
      </c>
      <c r="M20" s="21" t="n">
        <v>102</v>
      </c>
      <c r="N20" s="21" t="n">
        <v>7</v>
      </c>
      <c r="O20" s="16">
        <f>L20-N20</f>
        <v/>
      </c>
      <c r="P20" s="22" t="n">
        <v>53100000</v>
      </c>
      <c r="Q20" s="23" t="inlineStr">
        <is>
          <t>2025 In Progress Intake</t>
        </is>
      </c>
    </row>
  </sheetData>
  <mergeCells count="2">
    <mergeCell ref="G5:K5"/>
    <mergeCell ref="B5:F5"/>
  </mergeCells>
  <dataValidations count="2">
    <dataValidation sqref="D9:D500" showDropDown="0" showInputMessage="0" showErrorMessage="0" allowBlank="1" type="list">
      <formula1>Ref_Lookup!$A$2:$A$12</formula1>
    </dataValidation>
    <dataValidation sqref="E9:E500" showDropDown="0" showInputMessage="0" showErrorMessage="0" allowBlank="1" type="list">
      <formula1>Ref_Lookup!$B$2:$B$4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2" customWidth="1" min="3" max="3"/>
    <col width="45" customWidth="1" min="4" max="4"/>
  </cols>
  <sheetData>
    <row r="1">
      <c r="A1" s="24" t="inlineStr">
        <is>
          <t>Jurisdiction_Master</t>
        </is>
      </c>
      <c r="B1" s="24" t="inlineStr">
        <is>
          <t>UGA_Classification</t>
        </is>
      </c>
      <c r="C1" s="25" t="inlineStr">
        <is>
          <t>Official_Header_Schema</t>
        </is>
      </c>
      <c r="D1" s="24" t="inlineStr">
        <is>
          <t>Canonical_Signature_Key</t>
        </is>
      </c>
    </row>
    <row r="2">
      <c r="A2" s="7" t="inlineStr">
        <is>
          <t>Anacortes</t>
        </is>
      </c>
      <c r="B2" s="7" t="inlineStr">
        <is>
          <t>Incorporated City/Town</t>
        </is>
      </c>
      <c r="C2" s="6" t="inlineStr">
        <is>
          <t>Record_ID</t>
        </is>
      </c>
      <c r="D2" s="26" t="inlineStr">
        <is>
          <t>Record_ID|Reporting_Year|Jurisdiction|UGA_Type|Single_Family_Units|Duplex_Units|MultiFamily_3_4_Units|MultiFamily_5_Plus_Units|ADU_Units|Mobile_Home_Units|Total_Permitted_Units|Completed_Units|Demolished_Units|Net_New_Units|Total_Valuation_USD|Data_Source_Reference</t>
        </is>
      </c>
    </row>
    <row r="3">
      <c r="A3" s="7" t="inlineStr">
        <is>
          <t>Burlington</t>
        </is>
      </c>
      <c r="B3" s="7" t="inlineStr">
        <is>
          <t>Urban Growth Area (UGA)</t>
        </is>
      </c>
      <c r="C3" s="6" t="inlineStr">
        <is>
          <t>Reporting_Year</t>
        </is>
      </c>
    </row>
    <row r="4">
      <c r="A4" s="7" t="inlineStr">
        <is>
          <t>Concrete</t>
        </is>
      </c>
      <c r="B4" s="7" t="inlineStr">
        <is>
          <t>Unincorporated Rural Area</t>
        </is>
      </c>
      <c r="C4" s="6" t="inlineStr">
        <is>
          <t>Jurisdiction</t>
        </is>
      </c>
    </row>
    <row r="5">
      <c r="A5" s="7" t="inlineStr">
        <is>
          <t>Hamilton</t>
        </is>
      </c>
      <c r="C5" s="6" t="inlineStr">
        <is>
          <t>UGA_Type</t>
        </is>
      </c>
    </row>
    <row r="6">
      <c r="A6" s="7" t="inlineStr">
        <is>
          <t>La Conner</t>
        </is>
      </c>
      <c r="C6" s="6" t="inlineStr">
        <is>
          <t>Single_Family_Units</t>
        </is>
      </c>
    </row>
    <row r="7">
      <c r="A7" s="7" t="inlineStr">
        <is>
          <t>Lyman</t>
        </is>
      </c>
      <c r="C7" s="6" t="inlineStr">
        <is>
          <t>Duplex_Units</t>
        </is>
      </c>
    </row>
    <row r="8">
      <c r="A8" s="7" t="inlineStr">
        <is>
          <t>Mount Vernon</t>
        </is>
      </c>
      <c r="C8" s="6" t="inlineStr">
        <is>
          <t>MultiFamily_3_4_Units</t>
        </is>
      </c>
    </row>
    <row r="9">
      <c r="A9" s="7" t="inlineStr">
        <is>
          <t>Sedro-Woolley</t>
        </is>
      </c>
      <c r="C9" s="6" t="inlineStr">
        <is>
          <t>MultiFamily_5_Plus_Units</t>
        </is>
      </c>
    </row>
    <row r="10">
      <c r="A10" s="7" t="inlineStr">
        <is>
          <t>Bay View Ridge UGA</t>
        </is>
      </c>
      <c r="C10" s="6" t="inlineStr">
        <is>
          <t>ADU_Units</t>
        </is>
      </c>
    </row>
    <row r="11">
      <c r="A11" s="7" t="inlineStr">
        <is>
          <t>Swinomish UGA</t>
        </is>
      </c>
      <c r="C11" s="6" t="inlineStr">
        <is>
          <t>Mobile_Home_Units</t>
        </is>
      </c>
    </row>
    <row r="12">
      <c r="A12" s="7" t="inlineStr">
        <is>
          <t>Unincorporated Skagit County</t>
        </is>
      </c>
      <c r="C12" s="6" t="inlineStr">
        <is>
          <t>Total_Permitted_Units</t>
        </is>
      </c>
    </row>
    <row r="13">
      <c r="C13" s="6" t="inlineStr">
        <is>
          <t>Completed_Units</t>
        </is>
      </c>
    </row>
    <row r="14">
      <c r="C14" s="6" t="inlineStr">
        <is>
          <t>Demolished_Units</t>
        </is>
      </c>
    </row>
    <row r="15">
      <c r="C15" s="6" t="inlineStr">
        <is>
          <t>Net_New_Units</t>
        </is>
      </c>
    </row>
    <row r="16">
      <c r="C16" s="6" t="inlineStr">
        <is>
          <t>Total_Valuation_USD</t>
        </is>
      </c>
    </row>
    <row r="17">
      <c r="C17" s="6" t="inlineStr">
        <is>
          <t>Data_Source_Reference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2026-10-08T15:07:06Z</dcterms:created>
  <dcterms:modified xsi:type="dcterms:W3CDTF">2026-10-08T15:07:06Z</dcterms:modified>
</cp:coreProperties>
</file>
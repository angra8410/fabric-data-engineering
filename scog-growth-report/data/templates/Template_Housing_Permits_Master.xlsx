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Housing_Permits_Master" sheetId="2" state="visible" r:id="rId2"/>
    <sheet name="Ref_Lookup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applyAlignment="1" applyProtection="1" pivotButton="0" quotePrefix="0" xfId="0">
      <alignment horizontal="left" vertical="center" wrapText="1"/>
      <protection locked="1" hidden="1"/>
    </xf>
    <xf numFmtId="0" fontId="8" fillId="6" borderId="1" applyAlignment="1" applyProtection="1" pivotButton="0" quotePrefix="0" xfId="0">
      <alignment horizontal="left" vertical="center"/>
      <protection locked="1" hidden="1"/>
    </xf>
    <xf numFmtId="0" fontId="7" fillId="5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left" vertical="center"/>
      <protection locked="0" hidden="0"/>
    </xf>
    <xf numFmtId="3" fontId="6" fillId="0" borderId="1" applyAlignment="1" applyProtection="1" pivotButton="0" quotePrefix="0" xfId="0">
      <alignment horizontal="right" vertical="center"/>
      <protection locked="0" hidden="0"/>
    </xf>
    <xf numFmtId="3" fontId="9" fillId="7" borderId="1" applyAlignment="1" applyProtection="1" pivotButton="0" quotePrefix="0" xfId="0">
      <alignment horizontal="right" vertical="center"/>
      <protection locked="1" hidden="1"/>
    </xf>
    <xf numFmtId="164" fontId="6" fillId="0" borderId="1" applyAlignment="1" applyProtection="1" pivotButton="0" quotePrefix="0" xfId="0">
      <alignment horizontal="right" vertical="center"/>
      <protection locked="0" hidden="0"/>
    </xf>
    <xf numFmtId="0" fontId="3" fillId="0" borderId="1" applyAlignment="1" applyProtection="1" pivotButton="0" quotePrefix="0" xfId="0">
      <alignment horizontal="left" vertical="center"/>
      <protection locked="0" hidden="0"/>
    </xf>
    <xf numFmtId="0" fontId="5" fillId="3" borderId="1" applyAlignment="1" applyProtection="1" pivotButton="0" quotePrefix="0" xfId="0">
      <alignment horizontal="center" vertical="center"/>
      <protection locked="0" hidden="0"/>
    </xf>
    <xf numFmtId="0" fontId="6" fillId="3" borderId="1" applyAlignment="1" applyProtection="1" pivotButton="0" quotePrefix="0" xfId="0">
      <alignment horizontal="center" vertical="center"/>
      <protection locked="0" hidden="0"/>
    </xf>
    <xf numFmtId="0" fontId="6" fillId="3" borderId="1" applyAlignment="1" applyProtection="1" pivotButton="0" quotePrefix="0" xfId="0">
      <alignment horizontal="left" vertical="center"/>
      <protection locked="0" hidden="0"/>
    </xf>
    <xf numFmtId="3" fontId="6" fillId="3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applyProtection="1" pivotButton="0" quotePrefix="0" xfId="0">
      <alignment horizontal="right" vertical="center"/>
      <protection locked="0" hidden="0"/>
    </xf>
    <xf numFmtId="0" fontId="3" fillId="3" borderId="1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1" hidden="1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dxfs count="1">
    <dxf>
      <font>
        <name val="Segoe UI"/>
        <b val="1"/>
        <color rgb="00991B1B"/>
        <sz val="10.5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Housing Permits &amp; Development Intake</t>
        </is>
      </c>
    </row>
    <row r="3">
      <c r="B3" s="2" t="inlineStr">
        <is>
          <t>Standardized Annual Reporting Template for Municipal and UGA Residential Activity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Open Template in Excel</t>
        </is>
      </c>
      <c r="D7" s="7" t="inlineStr">
        <is>
          <t>Open this workbook from the governed SCOG SharePoint Online library.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 Banner</t>
        </is>
      </c>
      <c r="D8" s="7" t="inlineStr">
        <is>
          <t>Verify that Cell B5 displays '✔ SCHEMA VALID: Columns Match Official Specification'. If an error shows, do not rename or delete headers.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Input New Year Records</t>
        </is>
      </c>
      <c r="D9" s="7" t="inlineStr">
        <is>
          <t>Append new annual observations at the bottom of the table. Use exact dropdown values for Jurisdiction and UGA Type.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Automatic Net Unit Calculation</t>
        </is>
      </c>
      <c r="D10" s="7" t="inlineStr">
        <is>
          <t>Columns L (Total Permitted Units) and O (Net New Units) compute automatically using standard native formulas. Do not overwrite.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Reconciliation &amp; Control Check</t>
        </is>
      </c>
      <c r="D11" s="7" t="inlineStr">
        <is>
          <t>Check Cell G5 to ensure historical adopted totals remain unaltered. Save file directly to SharePoint to trigger Power BI refresh.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2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28" customWidth="1" min="4" max="4"/>
    <col width="26" customWidth="1" min="5" max="5"/>
    <col width="18" customWidth="1" min="6" max="6"/>
    <col width="15" customWidth="1" min="7" max="7"/>
    <col width="22" customWidth="1" min="8" max="8"/>
    <col width="22" customWidth="1" min="9" max="9"/>
    <col width="14" customWidth="1" min="10" max="10"/>
    <col width="18" customWidth="1" min="11" max="11"/>
    <col width="22" customWidth="1" min="12" max="12"/>
    <col width="16" customWidth="1" min="13" max="13"/>
    <col width="16" customWidth="1" min="14" max="14"/>
    <col width="18" customWidth="1" min="15" max="15"/>
    <col width="22" customWidth="1" min="16" max="16"/>
    <col width="35" customWidth="1" min="17" max="17"/>
  </cols>
  <sheetData>
    <row r="2">
      <c r="B2" s="1" t="inlineStr">
        <is>
          <t>SCOG Annual Growth Monitoring Report — Master Housing Permits Data</t>
        </is>
      </c>
    </row>
    <row r="3">
      <c r="B3" s="2" t="inlineStr">
        <is>
          <t>Regional Land Use and Residential Building Activity (1990 – Present)</t>
        </is>
      </c>
    </row>
    <row r="5" ht="38" customHeight="1">
      <c r="B5" s="10">
        <f>IF(_xlfn.TEXTJOIN("|",TRUE,B8:Q8)=Ref_Lookup!$D$2, "✔ SCHEMA VALID: Columns Match Official Specification", "❌ SCHEMA ERROR: Column(s) altered: " &amp; _xlfn.TEXTJOIN(", ", TRUE,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"")), IF(ISBLANK(N8), "'" &amp; Ref_Lookup!$C$14 &amp; "' [blank]", IF(N8&lt;&gt;Ref_Lookup!$C$14, "'" &amp; Ref_Lookup!$C$14 &amp; "' [found: '" &amp; N8 &amp; "']", "")), IF(ISBLANK(O8), "'" &amp; Ref_Lookup!$C$15 &amp; "' [blank]", IF(O8&lt;&gt;Ref_Lookup!$C$15, "'" &amp; Ref_Lookup!$C$15 &amp; "' [found: '" &amp; O8 &amp; "']", "")), IF(ISBLANK(P8), "'" &amp; Ref_Lookup!$C$16 &amp; "' [blank]", IF(P8&lt;&gt;Ref_Lookup!$C$16, "'" &amp; Ref_Lookup!$C$16 &amp; "' [found: '" &amp; P8 &amp; "']", "")), IF(ISBLANK(Q8), "'" &amp; Ref_Lookup!$C$17 &amp; "' [blank]", IF(Q8&lt;&gt;Ref_Lookup!$C$17, "'" &amp; Ref_Lookup!$C$17 &amp; "' [found: '" &amp; Q8 &amp; "']", ""))))</f>
        <v/>
      </c>
    </row>
    <row r="6" ht="24" customHeight="1">
      <c r="B6" s="11">
        <f>IF(SUMIFS(O9:O1000,C9:C1000,"&lt;=2024")&gt;=0,"✔ BASELINE INTEGRITY: Historical Control Totals Intact","⚠ INTEGRITY WARNING: Historical records modified!")</f>
        <v/>
      </c>
    </row>
    <row r="7" ht="10" customHeight="1"/>
    <row r="8" ht="28" customHeight="1">
      <c r="B8" s="12" t="inlineStr">
        <is>
          <t>Record_ID</t>
        </is>
      </c>
      <c r="C8" s="12" t="inlineStr">
        <is>
          <t>Reporting_Year</t>
        </is>
      </c>
      <c r="D8" s="12" t="inlineStr">
        <is>
          <t>Jurisdiction</t>
        </is>
      </c>
      <c r="E8" s="12" t="inlineStr">
        <is>
          <t>UGA_Type</t>
        </is>
      </c>
      <c r="F8" s="12" t="inlineStr">
        <is>
          <t>Single_Family_Units</t>
        </is>
      </c>
      <c r="G8" s="12" t="inlineStr">
        <is>
          <t>Duplex_Units</t>
        </is>
      </c>
      <c r="H8" s="12" t="inlineStr">
        <is>
          <t>MultiFamily_3_4_Units</t>
        </is>
      </c>
      <c r="I8" s="12" t="inlineStr">
        <is>
          <t>MultiFamily_5_Plus_Units</t>
        </is>
      </c>
      <c r="J8" s="12" t="inlineStr">
        <is>
          <t>ADU_Units</t>
        </is>
      </c>
      <c r="K8" s="12" t="inlineStr">
        <is>
          <t>Mobile_Home_Units</t>
        </is>
      </c>
      <c r="L8" s="12" t="inlineStr">
        <is>
          <t>Total_Permitted_Units</t>
        </is>
      </c>
      <c r="M8" s="12" t="inlineStr">
        <is>
          <t>Completed_Units</t>
        </is>
      </c>
      <c r="N8" s="12" t="inlineStr">
        <is>
          <t>Demolished_Units</t>
        </is>
      </c>
      <c r="O8" s="12" t="inlineStr">
        <is>
          <t>Net_New_Units</t>
        </is>
      </c>
      <c r="P8" s="12" t="inlineStr">
        <is>
          <t>Total_Valuation_USD</t>
        </is>
      </c>
      <c r="Q8" s="12" t="inlineStr">
        <is>
          <t>Data_Source_Reference</t>
        </is>
      </c>
    </row>
    <row r="9" ht="21" customHeight="1">
      <c r="B9" s="13" t="inlineStr">
        <is>
          <t>HP-2024-001</t>
        </is>
      </c>
      <c r="C9" s="14" t="n">
        <v>2024</v>
      </c>
      <c r="D9" s="15" t="inlineStr">
        <is>
          <t>Anacortes</t>
        </is>
      </c>
      <c r="E9" s="15" t="inlineStr">
        <is>
          <t>Incorporated City/Town</t>
        </is>
      </c>
      <c r="F9" s="16" t="n">
        <v>42</v>
      </c>
      <c r="G9" s="16" t="n">
        <v>4</v>
      </c>
      <c r="H9" s="16" t="n">
        <v>12</v>
      </c>
      <c r="I9" s="16" t="n">
        <v>35</v>
      </c>
      <c r="J9" s="16" t="n">
        <v>8</v>
      </c>
      <c r="K9" s="16" t="n">
        <v>0</v>
      </c>
      <c r="L9" s="17">
        <f>SUM(F9:K9)</f>
        <v/>
      </c>
      <c r="M9" s="16" t="n">
        <v>95</v>
      </c>
      <c r="N9" s="16" t="n">
        <v>2</v>
      </c>
      <c r="O9" s="17">
        <f>L9-N9</f>
        <v/>
      </c>
      <c r="P9" s="18" t="n">
        <v>38450000</v>
      </c>
      <c r="Q9" s="19" t="inlineStr">
        <is>
          <t>OFM April 1 / City Permit Office</t>
        </is>
      </c>
    </row>
    <row r="10" ht="21" customHeight="1">
      <c r="B10" s="20" t="inlineStr">
        <is>
          <t>HP-2024-002</t>
        </is>
      </c>
      <c r="C10" s="21" t="n">
        <v>2024</v>
      </c>
      <c r="D10" s="22" t="inlineStr">
        <is>
          <t>Burlington</t>
        </is>
      </c>
      <c r="E10" s="22" t="inlineStr">
        <is>
          <t>Incorporated City/Town</t>
        </is>
      </c>
      <c r="F10" s="23" t="n">
        <v>18</v>
      </c>
      <c r="G10" s="23" t="n">
        <v>2</v>
      </c>
      <c r="H10" s="23" t="n">
        <v>8</v>
      </c>
      <c r="I10" s="23" t="n">
        <v>48</v>
      </c>
      <c r="J10" s="23" t="n">
        <v>4</v>
      </c>
      <c r="K10" s="23" t="n">
        <v>0</v>
      </c>
      <c r="L10" s="17">
        <f>SUM(F10:K10)</f>
        <v/>
      </c>
      <c r="M10" s="23" t="n">
        <v>72</v>
      </c>
      <c r="N10" s="23" t="n">
        <v>1</v>
      </c>
      <c r="O10" s="17">
        <f>L10-N10</f>
        <v/>
      </c>
      <c r="P10" s="24" t="n">
        <v>24120000</v>
      </c>
      <c r="Q10" s="25" t="inlineStr">
        <is>
          <t>OFM April 1 / City Permit Office</t>
        </is>
      </c>
    </row>
    <row r="11" ht="21" customHeight="1">
      <c r="B11" s="13" t="inlineStr">
        <is>
          <t>HP-2024-003</t>
        </is>
      </c>
      <c r="C11" s="14" t="n">
        <v>2024</v>
      </c>
      <c r="D11" s="15" t="inlineStr">
        <is>
          <t>Mount Vernon</t>
        </is>
      </c>
      <c r="E11" s="15" t="inlineStr">
        <is>
          <t>Incorporated City/Town</t>
        </is>
      </c>
      <c r="F11" s="16" t="n">
        <v>65</v>
      </c>
      <c r="G11" s="16" t="n">
        <v>8</v>
      </c>
      <c r="H11" s="16" t="n">
        <v>24</v>
      </c>
      <c r="I11" s="16" t="n">
        <v>110</v>
      </c>
      <c r="J11" s="16" t="n">
        <v>15</v>
      </c>
      <c r="K11" s="16" t="n">
        <v>0</v>
      </c>
      <c r="L11" s="17">
        <f>SUM(F11:K11)</f>
        <v/>
      </c>
      <c r="M11" s="16" t="n">
        <v>212</v>
      </c>
      <c r="N11" s="16" t="n">
        <v>5</v>
      </c>
      <c r="O11" s="17">
        <f>L11-N11</f>
        <v/>
      </c>
      <c r="P11" s="18" t="n">
        <v>76890000</v>
      </c>
      <c r="Q11" s="19" t="inlineStr">
        <is>
          <t>OFM April 1 / City Permit Office</t>
        </is>
      </c>
    </row>
    <row r="12" ht="21" customHeight="1">
      <c r="B12" s="20" t="inlineStr">
        <is>
          <t>HP-2024-004</t>
        </is>
      </c>
      <c r="C12" s="21" t="n">
        <v>2024</v>
      </c>
      <c r="D12" s="22" t="inlineStr">
        <is>
          <t>Sedro-Woolley</t>
        </is>
      </c>
      <c r="E12" s="22" t="inlineStr">
        <is>
          <t>Incorporated City/Town</t>
        </is>
      </c>
      <c r="F12" s="23" t="n">
        <v>35</v>
      </c>
      <c r="G12" s="23" t="n">
        <v>6</v>
      </c>
      <c r="H12" s="23" t="n">
        <v>10</v>
      </c>
      <c r="I12" s="23" t="n">
        <v>25</v>
      </c>
      <c r="J12" s="23" t="n">
        <v>6</v>
      </c>
      <c r="K12" s="23" t="n">
        <v>0</v>
      </c>
      <c r="L12" s="17">
        <f>SUM(F12:K12)</f>
        <v/>
      </c>
      <c r="M12" s="23" t="n">
        <v>74</v>
      </c>
      <c r="N12" s="23" t="n">
        <v>2</v>
      </c>
      <c r="O12" s="17">
        <f>L12-N12</f>
        <v/>
      </c>
      <c r="P12" s="24" t="n">
        <v>27300000</v>
      </c>
      <c r="Q12" s="25" t="inlineStr">
        <is>
          <t>OFM April 1 / City Permit Office</t>
        </is>
      </c>
    </row>
    <row r="13" ht="21" customHeight="1">
      <c r="B13" s="13" t="inlineStr">
        <is>
          <t>HP-2024-005</t>
        </is>
      </c>
      <c r="C13" s="14" t="n">
        <v>2024</v>
      </c>
      <c r="D13" s="15" t="inlineStr">
        <is>
          <t>Bay View Ridge UGA</t>
        </is>
      </c>
      <c r="E13" s="15" t="inlineStr">
        <is>
          <t>Urban Growth Area (UGA)</t>
        </is>
      </c>
      <c r="F13" s="16" t="n">
        <v>10</v>
      </c>
      <c r="G13" s="16" t="n">
        <v>0</v>
      </c>
      <c r="H13" s="16" t="n">
        <v>0</v>
      </c>
      <c r="I13" s="16" t="n">
        <v>0</v>
      </c>
      <c r="J13" s="16" t="n">
        <v>2</v>
      </c>
      <c r="K13" s="16" t="n">
        <v>0</v>
      </c>
      <c r="L13" s="17">
        <f>SUM(F13:K13)</f>
        <v/>
      </c>
      <c r="M13" s="16" t="n">
        <v>11</v>
      </c>
      <c r="N13" s="16" t="n">
        <v>0</v>
      </c>
      <c r="O13" s="17">
        <f>L13-N13</f>
        <v/>
      </c>
      <c r="P13" s="18" t="n">
        <v>5850000</v>
      </c>
      <c r="Q13" s="19" t="inlineStr">
        <is>
          <t>Skagit County Planning &amp; Dev (UGA Log)</t>
        </is>
      </c>
    </row>
    <row r="14" ht="21" customHeight="1">
      <c r="B14" s="20" t="inlineStr">
        <is>
          <t>HP-2024-006</t>
        </is>
      </c>
      <c r="C14" s="21" t="n">
        <v>2024</v>
      </c>
      <c r="D14" s="22" t="inlineStr">
        <is>
          <t>Unincorporated Skagit County</t>
        </is>
      </c>
      <c r="E14" s="22" t="inlineStr">
        <is>
          <t>Unincorporated Rural Area</t>
        </is>
      </c>
      <c r="F14" s="23" t="n">
        <v>85</v>
      </c>
      <c r="G14" s="23" t="n">
        <v>2</v>
      </c>
      <c r="H14" s="23" t="n">
        <v>0</v>
      </c>
      <c r="I14" s="23" t="n">
        <v>0</v>
      </c>
      <c r="J14" s="23" t="n">
        <v>18</v>
      </c>
      <c r="K14" s="23" t="n">
        <v>5</v>
      </c>
      <c r="L14" s="17">
        <f>SUM(F14:K14)</f>
        <v/>
      </c>
      <c r="M14" s="23" t="n">
        <v>95</v>
      </c>
      <c r="N14" s="23" t="n">
        <v>8</v>
      </c>
      <c r="O14" s="17">
        <f>L14-N14</f>
        <v/>
      </c>
      <c r="P14" s="24" t="n">
        <v>48900000</v>
      </c>
      <c r="Q14" s="25" t="inlineStr">
        <is>
          <t>Skagit County Planning &amp; Dev Services</t>
        </is>
      </c>
    </row>
    <row r="15" ht="21" customHeight="1">
      <c r="B15" s="13" t="inlineStr">
        <is>
          <t>HP-2025-001</t>
        </is>
      </c>
      <c r="C15" s="14" t="n">
        <v>2025</v>
      </c>
      <c r="D15" s="15" t="inlineStr">
        <is>
          <t>Anacortes</t>
        </is>
      </c>
      <c r="E15" s="15" t="inlineStr">
        <is>
          <t>Incorporated City/Town</t>
        </is>
      </c>
      <c r="F15" s="16" t="n">
        <v>38</v>
      </c>
      <c r="G15" s="16" t="n">
        <v>2</v>
      </c>
      <c r="H15" s="16" t="n">
        <v>8</v>
      </c>
      <c r="I15" s="16" t="n">
        <v>40</v>
      </c>
      <c r="J15" s="16" t="n">
        <v>10</v>
      </c>
      <c r="K15" s="16" t="n">
        <v>0</v>
      </c>
      <c r="L15" s="17">
        <f>SUM(F15:K15)</f>
        <v/>
      </c>
      <c r="M15" s="16" t="n">
        <v>90</v>
      </c>
      <c r="N15" s="16" t="n">
        <v>1</v>
      </c>
      <c r="O15" s="17">
        <f>L15-N15</f>
        <v/>
      </c>
      <c r="P15" s="18" t="n">
        <v>39200000</v>
      </c>
      <c r="Q15" s="19" t="inlineStr">
        <is>
          <t>2025 In Progress Intake</t>
        </is>
      </c>
    </row>
    <row r="16" ht="21" customHeight="1">
      <c r="B16" s="20" t="inlineStr">
        <is>
          <t>HP-2025-002</t>
        </is>
      </c>
      <c r="C16" s="21" t="n">
        <v>2025</v>
      </c>
      <c r="D16" s="22" t="inlineStr">
        <is>
          <t>Burlington</t>
        </is>
      </c>
      <c r="E16" s="22" t="inlineStr">
        <is>
          <t>Incorporated City/Town</t>
        </is>
      </c>
      <c r="F16" s="23" t="n">
        <v>15</v>
      </c>
      <c r="G16" s="23" t="n">
        <v>0</v>
      </c>
      <c r="H16" s="23" t="n">
        <v>6</v>
      </c>
      <c r="I16" s="23" t="n">
        <v>52</v>
      </c>
      <c r="J16" s="23" t="n">
        <v>5</v>
      </c>
      <c r="K16" s="23" t="n">
        <v>0</v>
      </c>
      <c r="L16" s="17">
        <f>SUM(F16:K16)</f>
        <v/>
      </c>
      <c r="M16" s="23" t="n">
        <v>70</v>
      </c>
      <c r="N16" s="23" t="n">
        <v>0</v>
      </c>
      <c r="O16" s="17">
        <f>L16-N16</f>
        <v/>
      </c>
      <c r="P16" s="24" t="n">
        <v>26500000</v>
      </c>
      <c r="Q16" s="25" t="inlineStr">
        <is>
          <t>2025 In Progress Intake</t>
        </is>
      </c>
    </row>
    <row r="17" ht="21" customHeight="1">
      <c r="B17" s="13" t="inlineStr">
        <is>
          <t>HP-2025-003</t>
        </is>
      </c>
      <c r="C17" s="14" t="n">
        <v>2025</v>
      </c>
      <c r="D17" s="15" t="inlineStr">
        <is>
          <t>Mount Vernon</t>
        </is>
      </c>
      <c r="E17" s="15" t="inlineStr">
        <is>
          <t>Incorporated City/Town</t>
        </is>
      </c>
      <c r="F17" s="16" t="n">
        <v>70</v>
      </c>
      <c r="G17" s="16" t="n">
        <v>6</v>
      </c>
      <c r="H17" s="16" t="n">
        <v>16</v>
      </c>
      <c r="I17" s="16" t="n">
        <v>95</v>
      </c>
      <c r="J17" s="16" t="n">
        <v>18</v>
      </c>
      <c r="K17" s="16" t="n">
        <v>0</v>
      </c>
      <c r="L17" s="17">
        <f>SUM(F17:K17)</f>
        <v/>
      </c>
      <c r="M17" s="16" t="n">
        <v>198</v>
      </c>
      <c r="N17" s="16" t="n">
        <v>4</v>
      </c>
      <c r="O17" s="17">
        <f>L17-N17</f>
        <v/>
      </c>
      <c r="P17" s="18" t="n">
        <v>78100000</v>
      </c>
      <c r="Q17" s="19" t="inlineStr">
        <is>
          <t>2025 In Progress Intake</t>
        </is>
      </c>
    </row>
    <row r="18" ht="21" customHeight="1">
      <c r="B18" s="20" t="inlineStr">
        <is>
          <t>HP-2025-004</t>
        </is>
      </c>
      <c r="C18" s="21" t="n">
        <v>2025</v>
      </c>
      <c r="D18" s="22" t="inlineStr">
        <is>
          <t>Sedro-Woolley</t>
        </is>
      </c>
      <c r="E18" s="22" t="inlineStr">
        <is>
          <t>Incorporated City/Town</t>
        </is>
      </c>
      <c r="F18" s="23" t="n">
        <v>40</v>
      </c>
      <c r="G18" s="23" t="n">
        <v>4</v>
      </c>
      <c r="H18" s="23" t="n">
        <v>12</v>
      </c>
      <c r="I18" s="23" t="n">
        <v>30</v>
      </c>
      <c r="J18" s="23" t="n">
        <v>8</v>
      </c>
      <c r="K18" s="23" t="n">
        <v>0</v>
      </c>
      <c r="L18" s="17">
        <f>SUM(F18:K18)</f>
        <v/>
      </c>
      <c r="M18" s="23" t="n">
        <v>88</v>
      </c>
      <c r="N18" s="23" t="n">
        <v>3</v>
      </c>
      <c r="O18" s="17">
        <f>L18-N18</f>
        <v/>
      </c>
      <c r="P18" s="24" t="n">
        <v>31400000</v>
      </c>
      <c r="Q18" s="25" t="inlineStr">
        <is>
          <t>2025 In Progress Intake</t>
        </is>
      </c>
    </row>
    <row r="19" ht="21" customHeight="1">
      <c r="B19" s="13" t="inlineStr">
        <is>
          <t>HP-2025-005</t>
        </is>
      </c>
      <c r="C19" s="14" t="n">
        <v>2025</v>
      </c>
      <c r="D19" s="15" t="inlineStr">
        <is>
          <t>Bay View Ridge UGA</t>
        </is>
      </c>
      <c r="E19" s="15" t="inlineStr">
        <is>
          <t>Urban Growth Area (UGA)</t>
        </is>
      </c>
      <c r="F19" s="16" t="n">
        <v>12</v>
      </c>
      <c r="G19" s="16" t="n">
        <v>0</v>
      </c>
      <c r="H19" s="16" t="n">
        <v>0</v>
      </c>
      <c r="I19" s="16" t="n">
        <v>0</v>
      </c>
      <c r="J19" s="16" t="n">
        <v>1</v>
      </c>
      <c r="K19" s="16" t="n">
        <v>0</v>
      </c>
      <c r="L19" s="17">
        <f>SUM(F19:K19)</f>
        <v/>
      </c>
      <c r="M19" s="16" t="n">
        <v>12</v>
      </c>
      <c r="N19" s="16" t="n">
        <v>0</v>
      </c>
      <c r="O19" s="17">
        <f>L19-N19</f>
        <v/>
      </c>
      <c r="P19" s="18" t="n">
        <v>6200000</v>
      </c>
      <c r="Q19" s="19" t="inlineStr">
        <is>
          <t>2025 UGA Permits File</t>
        </is>
      </c>
    </row>
    <row r="20" ht="21" customHeight="1">
      <c r="B20" s="20" t="inlineStr">
        <is>
          <t>HP-2025-006</t>
        </is>
      </c>
      <c r="C20" s="21" t="n">
        <v>2025</v>
      </c>
      <c r="D20" s="22" t="inlineStr">
        <is>
          <t>Unincorporated Skagit County</t>
        </is>
      </c>
      <c r="E20" s="22" t="inlineStr">
        <is>
          <t>Unincorporated Rural Area</t>
        </is>
      </c>
      <c r="F20" s="23" t="n">
        <v>92</v>
      </c>
      <c r="G20" s="23" t="n">
        <v>4</v>
      </c>
      <c r="H20" s="23" t="n">
        <v>0</v>
      </c>
      <c r="I20" s="23" t="n">
        <v>0</v>
      </c>
      <c r="J20" s="23" t="n">
        <v>20</v>
      </c>
      <c r="K20" s="23" t="n">
        <v>6</v>
      </c>
      <c r="L20" s="17">
        <f>SUM(F20:K20)</f>
        <v/>
      </c>
      <c r="M20" s="23" t="n">
        <v>102</v>
      </c>
      <c r="N20" s="23" t="n">
        <v>7</v>
      </c>
      <c r="O20" s="17">
        <f>L20-N20</f>
        <v/>
      </c>
      <c r="P20" s="24" t="n">
        <v>53100000</v>
      </c>
      <c r="Q20" s="25" t="inlineStr">
        <is>
          <t>2025 In Progress Intake</t>
        </is>
      </c>
    </row>
    <row r="21"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7" t="n"/>
      <c r="M21" s="26" t="n"/>
      <c r="N21" s="26" t="n"/>
      <c r="O21" s="27" t="n"/>
      <c r="P21" s="26" t="n"/>
      <c r="Q21" s="26" t="n"/>
    </row>
    <row r="22"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7" t="n"/>
      <c r="M22" s="26" t="n"/>
      <c r="N22" s="26" t="n"/>
      <c r="O22" s="27" t="n"/>
      <c r="P22" s="26" t="n"/>
      <c r="Q22" s="26" t="n"/>
    </row>
    <row r="23"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7" t="n"/>
      <c r="M23" s="26" t="n"/>
      <c r="N23" s="26" t="n"/>
      <c r="O23" s="27" t="n"/>
      <c r="P23" s="26" t="n"/>
      <c r="Q23" s="26" t="n"/>
    </row>
    <row r="24"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7" t="n"/>
      <c r="M24" s="26" t="n"/>
      <c r="N24" s="26" t="n"/>
      <c r="O24" s="27" t="n"/>
      <c r="P24" s="26" t="n"/>
      <c r="Q24" s="26" t="n"/>
    </row>
    <row r="25"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7" t="n"/>
      <c r="M25" s="26" t="n"/>
      <c r="N25" s="26" t="n"/>
      <c r="O25" s="27" t="n"/>
      <c r="P25" s="26" t="n"/>
      <c r="Q25" s="26" t="n"/>
    </row>
    <row r="26"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7" t="n"/>
      <c r="M26" s="26" t="n"/>
      <c r="N26" s="26" t="n"/>
      <c r="O26" s="27" t="n"/>
      <c r="P26" s="26" t="n"/>
      <c r="Q26" s="26" t="n"/>
    </row>
    <row r="27"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7" t="n"/>
      <c r="M27" s="26" t="n"/>
      <c r="N27" s="26" t="n"/>
      <c r="O27" s="27" t="n"/>
      <c r="P27" s="26" t="n"/>
      <c r="Q27" s="26" t="n"/>
    </row>
    <row r="28"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7" t="n"/>
      <c r="M28" s="26" t="n"/>
      <c r="N28" s="26" t="n"/>
      <c r="O28" s="27" t="n"/>
      <c r="P28" s="26" t="n"/>
      <c r="Q28" s="26" t="n"/>
    </row>
    <row r="29"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7" t="n"/>
      <c r="M29" s="26" t="n"/>
      <c r="N29" s="26" t="n"/>
      <c r="O29" s="27" t="n"/>
      <c r="P29" s="26" t="n"/>
      <c r="Q29" s="26" t="n"/>
    </row>
    <row r="30"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7" t="n"/>
      <c r="M30" s="26" t="n"/>
      <c r="N30" s="26" t="n"/>
      <c r="O30" s="27" t="n"/>
      <c r="P30" s="26" t="n"/>
      <c r="Q30" s="26" t="n"/>
    </row>
    <row r="31"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7" t="n"/>
      <c r="M31" s="26" t="n"/>
      <c r="N31" s="26" t="n"/>
      <c r="O31" s="27" t="n"/>
      <c r="P31" s="26" t="n"/>
      <c r="Q31" s="26" t="n"/>
    </row>
    <row r="32"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7" t="n"/>
      <c r="M32" s="26" t="n"/>
      <c r="N32" s="26" t="n"/>
      <c r="O32" s="27" t="n"/>
      <c r="P32" s="26" t="n"/>
      <c r="Q32" s="26" t="n"/>
    </row>
    <row r="33"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7" t="n"/>
      <c r="M33" s="26" t="n"/>
      <c r="N33" s="26" t="n"/>
      <c r="O33" s="27" t="n"/>
      <c r="P33" s="26" t="n"/>
      <c r="Q33" s="26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7" t="n"/>
      <c r="M34" s="26" t="n"/>
      <c r="N34" s="26" t="n"/>
      <c r="O34" s="27" t="n"/>
      <c r="P34" s="26" t="n"/>
      <c r="Q34" s="26" t="n"/>
    </row>
    <row r="35"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7" t="n"/>
      <c r="M35" s="26" t="n"/>
      <c r="N35" s="26" t="n"/>
      <c r="O35" s="27" t="n"/>
      <c r="P35" s="26" t="n"/>
      <c r="Q35" s="26" t="n"/>
    </row>
    <row r="36"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7" t="n"/>
      <c r="M36" s="26" t="n"/>
      <c r="N36" s="26" t="n"/>
      <c r="O36" s="27" t="n"/>
      <c r="P36" s="26" t="n"/>
      <c r="Q36" s="26" t="n"/>
    </row>
    <row r="37"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7" t="n"/>
      <c r="M37" s="26" t="n"/>
      <c r="N37" s="26" t="n"/>
      <c r="O37" s="27" t="n"/>
      <c r="P37" s="26" t="n"/>
      <c r="Q37" s="26" t="n"/>
    </row>
    <row r="38"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7" t="n"/>
      <c r="M38" s="26" t="n"/>
      <c r="N38" s="26" t="n"/>
      <c r="O38" s="27" t="n"/>
      <c r="P38" s="26" t="n"/>
      <c r="Q38" s="26" t="n"/>
    </row>
    <row r="39"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7" t="n"/>
      <c r="M39" s="26" t="n"/>
      <c r="N39" s="26" t="n"/>
      <c r="O39" s="27" t="n"/>
      <c r="P39" s="26" t="n"/>
      <c r="Q39" s="26" t="n"/>
    </row>
    <row r="40"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7" t="n"/>
      <c r="M40" s="26" t="n"/>
      <c r="N40" s="26" t="n"/>
      <c r="O40" s="27" t="n"/>
      <c r="P40" s="26" t="n"/>
      <c r="Q40" s="26" t="n"/>
    </row>
    <row r="41"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7" t="n"/>
      <c r="M41" s="26" t="n"/>
      <c r="N41" s="26" t="n"/>
      <c r="O41" s="27" t="n"/>
      <c r="P41" s="26" t="n"/>
      <c r="Q41" s="26" t="n"/>
    </row>
    <row r="42"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7" t="n"/>
      <c r="M42" s="26" t="n"/>
      <c r="N42" s="26" t="n"/>
      <c r="O42" s="27" t="n"/>
      <c r="P42" s="26" t="n"/>
      <c r="Q42" s="26" t="n"/>
    </row>
    <row r="43"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7" t="n"/>
      <c r="M43" s="26" t="n"/>
      <c r="N43" s="26" t="n"/>
      <c r="O43" s="27" t="n"/>
      <c r="P43" s="26" t="n"/>
      <c r="Q43" s="26" t="n"/>
    </row>
    <row r="44"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7" t="n"/>
      <c r="M44" s="26" t="n"/>
      <c r="N44" s="26" t="n"/>
      <c r="O44" s="27" t="n"/>
      <c r="P44" s="26" t="n"/>
      <c r="Q44" s="26" t="n"/>
    </row>
    <row r="45"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7" t="n"/>
      <c r="M45" s="26" t="n"/>
      <c r="N45" s="26" t="n"/>
      <c r="O45" s="27" t="n"/>
      <c r="P45" s="26" t="n"/>
      <c r="Q45" s="26" t="n"/>
    </row>
    <row r="46"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7" t="n"/>
      <c r="M46" s="26" t="n"/>
      <c r="N46" s="26" t="n"/>
      <c r="O46" s="27" t="n"/>
      <c r="P46" s="26" t="n"/>
      <c r="Q46" s="26" t="n"/>
    </row>
    <row r="47"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7" t="n"/>
      <c r="M47" s="26" t="n"/>
      <c r="N47" s="26" t="n"/>
      <c r="O47" s="27" t="n"/>
      <c r="P47" s="26" t="n"/>
      <c r="Q47" s="26" t="n"/>
    </row>
    <row r="48"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7" t="n"/>
      <c r="M48" s="26" t="n"/>
      <c r="N48" s="26" t="n"/>
      <c r="O48" s="27" t="n"/>
      <c r="P48" s="26" t="n"/>
      <c r="Q48" s="26" t="n"/>
    </row>
    <row r="49"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7" t="n"/>
      <c r="M49" s="26" t="n"/>
      <c r="N49" s="26" t="n"/>
      <c r="O49" s="27" t="n"/>
      <c r="P49" s="26" t="n"/>
      <c r="Q49" s="26" t="n"/>
    </row>
    <row r="50"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7" t="n"/>
      <c r="M50" s="26" t="n"/>
      <c r="N50" s="26" t="n"/>
      <c r="O50" s="27" t="n"/>
      <c r="P50" s="26" t="n"/>
      <c r="Q50" s="26" t="n"/>
    </row>
    <row r="51"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7" t="n"/>
      <c r="M51" s="26" t="n"/>
      <c r="N51" s="26" t="n"/>
      <c r="O51" s="27" t="n"/>
      <c r="P51" s="26" t="n"/>
      <c r="Q51" s="26" t="n"/>
    </row>
    <row r="52"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7" t="n"/>
      <c r="M52" s="26" t="n"/>
      <c r="N52" s="26" t="n"/>
      <c r="O52" s="27" t="n"/>
      <c r="P52" s="26" t="n"/>
      <c r="Q52" s="26" t="n"/>
    </row>
    <row r="53"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7" t="n"/>
      <c r="M53" s="26" t="n"/>
      <c r="N53" s="26" t="n"/>
      <c r="O53" s="27" t="n"/>
      <c r="P53" s="26" t="n"/>
      <c r="Q53" s="26" t="n"/>
    </row>
    <row r="54"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7" t="n"/>
      <c r="M54" s="26" t="n"/>
      <c r="N54" s="26" t="n"/>
      <c r="O54" s="27" t="n"/>
      <c r="P54" s="26" t="n"/>
      <c r="Q54" s="26" t="n"/>
    </row>
    <row r="55"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7" t="n"/>
      <c r="M55" s="26" t="n"/>
      <c r="N55" s="26" t="n"/>
      <c r="O55" s="27" t="n"/>
      <c r="P55" s="26" t="n"/>
      <c r="Q55" s="26" t="n"/>
    </row>
    <row r="56"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7" t="n"/>
      <c r="M56" s="26" t="n"/>
      <c r="N56" s="26" t="n"/>
      <c r="O56" s="27" t="n"/>
      <c r="P56" s="26" t="n"/>
      <c r="Q56" s="26" t="n"/>
    </row>
    <row r="57"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7" t="n"/>
      <c r="M57" s="26" t="n"/>
      <c r="N57" s="26" t="n"/>
      <c r="O57" s="27" t="n"/>
      <c r="P57" s="26" t="n"/>
      <c r="Q57" s="26" t="n"/>
    </row>
    <row r="58"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7" t="n"/>
      <c r="M58" s="26" t="n"/>
      <c r="N58" s="26" t="n"/>
      <c r="O58" s="27" t="n"/>
      <c r="P58" s="26" t="n"/>
      <c r="Q58" s="26" t="n"/>
    </row>
    <row r="59"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7" t="n"/>
      <c r="M59" s="26" t="n"/>
      <c r="N59" s="26" t="n"/>
      <c r="O59" s="27" t="n"/>
      <c r="P59" s="26" t="n"/>
      <c r="Q59" s="26" t="n"/>
    </row>
    <row r="60"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7" t="n"/>
      <c r="M60" s="26" t="n"/>
      <c r="N60" s="26" t="n"/>
      <c r="O60" s="27" t="n"/>
      <c r="P60" s="26" t="n"/>
      <c r="Q60" s="26" t="n"/>
    </row>
    <row r="61"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7" t="n"/>
      <c r="M61" s="26" t="n"/>
      <c r="N61" s="26" t="n"/>
      <c r="O61" s="27" t="n"/>
      <c r="P61" s="26" t="n"/>
      <c r="Q61" s="26" t="n"/>
    </row>
    <row r="62"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7" t="n"/>
      <c r="M62" s="26" t="n"/>
      <c r="N62" s="26" t="n"/>
      <c r="O62" s="27" t="n"/>
      <c r="P62" s="26" t="n"/>
      <c r="Q62" s="26" t="n"/>
    </row>
    <row r="63"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7" t="n"/>
      <c r="M63" s="26" t="n"/>
      <c r="N63" s="26" t="n"/>
      <c r="O63" s="27" t="n"/>
      <c r="P63" s="26" t="n"/>
      <c r="Q63" s="26" t="n"/>
    </row>
    <row r="64"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7" t="n"/>
      <c r="M64" s="26" t="n"/>
      <c r="N64" s="26" t="n"/>
      <c r="O64" s="27" t="n"/>
      <c r="P64" s="26" t="n"/>
      <c r="Q64" s="26" t="n"/>
    </row>
    <row r="65"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7" t="n"/>
      <c r="M65" s="26" t="n"/>
      <c r="N65" s="26" t="n"/>
      <c r="O65" s="27" t="n"/>
      <c r="P65" s="26" t="n"/>
      <c r="Q65" s="26" t="n"/>
    </row>
    <row r="66"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7" t="n"/>
      <c r="M66" s="26" t="n"/>
      <c r="N66" s="26" t="n"/>
      <c r="O66" s="27" t="n"/>
      <c r="P66" s="26" t="n"/>
      <c r="Q66" s="26" t="n"/>
    </row>
    <row r="67"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7" t="n"/>
      <c r="M67" s="26" t="n"/>
      <c r="N67" s="26" t="n"/>
      <c r="O67" s="27" t="n"/>
      <c r="P67" s="26" t="n"/>
      <c r="Q67" s="26" t="n"/>
    </row>
    <row r="68"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7" t="n"/>
      <c r="M68" s="26" t="n"/>
      <c r="N68" s="26" t="n"/>
      <c r="O68" s="27" t="n"/>
      <c r="P68" s="26" t="n"/>
      <c r="Q68" s="26" t="n"/>
    </row>
    <row r="69"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7" t="n"/>
      <c r="M69" s="26" t="n"/>
      <c r="N69" s="26" t="n"/>
      <c r="O69" s="27" t="n"/>
      <c r="P69" s="26" t="n"/>
      <c r="Q69" s="26" t="n"/>
    </row>
    <row r="70"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7" t="n"/>
      <c r="M70" s="26" t="n"/>
      <c r="N70" s="26" t="n"/>
      <c r="O70" s="27" t="n"/>
      <c r="P70" s="26" t="n"/>
      <c r="Q70" s="26" t="n"/>
    </row>
    <row r="71"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7" t="n"/>
      <c r="M71" s="26" t="n"/>
      <c r="N71" s="26" t="n"/>
      <c r="O71" s="27" t="n"/>
      <c r="P71" s="26" t="n"/>
      <c r="Q71" s="26" t="n"/>
    </row>
    <row r="72"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7" t="n"/>
      <c r="M72" s="26" t="n"/>
      <c r="N72" s="26" t="n"/>
      <c r="O72" s="27" t="n"/>
      <c r="P72" s="26" t="n"/>
      <c r="Q72" s="26" t="n"/>
    </row>
    <row r="73"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7" t="n"/>
      <c r="M73" s="26" t="n"/>
      <c r="N73" s="26" t="n"/>
      <c r="O73" s="27" t="n"/>
      <c r="P73" s="26" t="n"/>
      <c r="Q73" s="26" t="n"/>
    </row>
    <row r="74"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7" t="n"/>
      <c r="M74" s="26" t="n"/>
      <c r="N74" s="26" t="n"/>
      <c r="O74" s="27" t="n"/>
      <c r="P74" s="26" t="n"/>
      <c r="Q74" s="26" t="n"/>
    </row>
    <row r="75"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7" t="n"/>
      <c r="M75" s="26" t="n"/>
      <c r="N75" s="26" t="n"/>
      <c r="O75" s="27" t="n"/>
      <c r="P75" s="26" t="n"/>
      <c r="Q75" s="26" t="n"/>
    </row>
    <row r="76"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7" t="n"/>
      <c r="M76" s="26" t="n"/>
      <c r="N76" s="26" t="n"/>
      <c r="O76" s="27" t="n"/>
      <c r="P76" s="26" t="n"/>
      <c r="Q76" s="26" t="n"/>
    </row>
    <row r="77"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7" t="n"/>
      <c r="M77" s="26" t="n"/>
      <c r="N77" s="26" t="n"/>
      <c r="O77" s="27" t="n"/>
      <c r="P77" s="26" t="n"/>
      <c r="Q77" s="26" t="n"/>
    </row>
    <row r="78"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7" t="n"/>
      <c r="M78" s="26" t="n"/>
      <c r="N78" s="26" t="n"/>
      <c r="O78" s="27" t="n"/>
      <c r="P78" s="26" t="n"/>
      <c r="Q78" s="26" t="n"/>
    </row>
    <row r="79"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7" t="n"/>
      <c r="M79" s="26" t="n"/>
      <c r="N79" s="26" t="n"/>
      <c r="O79" s="27" t="n"/>
      <c r="P79" s="26" t="n"/>
      <c r="Q79" s="26" t="n"/>
    </row>
    <row r="80"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7" t="n"/>
      <c r="M80" s="26" t="n"/>
      <c r="N80" s="26" t="n"/>
      <c r="O80" s="27" t="n"/>
      <c r="P80" s="26" t="n"/>
      <c r="Q80" s="26" t="n"/>
    </row>
    <row r="81"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7" t="n"/>
      <c r="M81" s="26" t="n"/>
      <c r="N81" s="26" t="n"/>
      <c r="O81" s="27" t="n"/>
      <c r="P81" s="26" t="n"/>
      <c r="Q81" s="26" t="n"/>
    </row>
    <row r="82"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7" t="n"/>
      <c r="M82" s="26" t="n"/>
      <c r="N82" s="26" t="n"/>
      <c r="O82" s="27" t="n"/>
      <c r="P82" s="26" t="n"/>
      <c r="Q82" s="26" t="n"/>
    </row>
    <row r="83"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7" t="n"/>
      <c r="M83" s="26" t="n"/>
      <c r="N83" s="26" t="n"/>
      <c r="O83" s="27" t="n"/>
      <c r="P83" s="26" t="n"/>
      <c r="Q83" s="26" t="n"/>
    </row>
    <row r="84"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7" t="n"/>
      <c r="M84" s="26" t="n"/>
      <c r="N84" s="26" t="n"/>
      <c r="O84" s="27" t="n"/>
      <c r="P84" s="26" t="n"/>
      <c r="Q84" s="26" t="n"/>
    </row>
    <row r="85"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7" t="n"/>
      <c r="M85" s="26" t="n"/>
      <c r="N85" s="26" t="n"/>
      <c r="O85" s="27" t="n"/>
      <c r="P85" s="26" t="n"/>
      <c r="Q85" s="26" t="n"/>
    </row>
    <row r="86"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7" t="n"/>
      <c r="M86" s="26" t="n"/>
      <c r="N86" s="26" t="n"/>
      <c r="O86" s="27" t="n"/>
      <c r="P86" s="26" t="n"/>
      <c r="Q86" s="26" t="n"/>
    </row>
    <row r="87"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7" t="n"/>
      <c r="M87" s="26" t="n"/>
      <c r="N87" s="26" t="n"/>
      <c r="O87" s="27" t="n"/>
      <c r="P87" s="26" t="n"/>
      <c r="Q87" s="26" t="n"/>
    </row>
    <row r="88"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7" t="n"/>
      <c r="M88" s="26" t="n"/>
      <c r="N88" s="26" t="n"/>
      <c r="O88" s="27" t="n"/>
      <c r="P88" s="26" t="n"/>
      <c r="Q88" s="26" t="n"/>
    </row>
    <row r="89"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7" t="n"/>
      <c r="M89" s="26" t="n"/>
      <c r="N89" s="26" t="n"/>
      <c r="O89" s="27" t="n"/>
      <c r="P89" s="26" t="n"/>
      <c r="Q89" s="26" t="n"/>
    </row>
    <row r="90"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7" t="n"/>
      <c r="M90" s="26" t="n"/>
      <c r="N90" s="26" t="n"/>
      <c r="O90" s="27" t="n"/>
      <c r="P90" s="26" t="n"/>
      <c r="Q90" s="26" t="n"/>
    </row>
    <row r="91"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7" t="n"/>
      <c r="M91" s="26" t="n"/>
      <c r="N91" s="26" t="n"/>
      <c r="O91" s="27" t="n"/>
      <c r="P91" s="26" t="n"/>
      <c r="Q91" s="26" t="n"/>
    </row>
    <row r="92"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7" t="n"/>
      <c r="M92" s="26" t="n"/>
      <c r="N92" s="26" t="n"/>
      <c r="O92" s="27" t="n"/>
      <c r="P92" s="26" t="n"/>
      <c r="Q92" s="26" t="n"/>
    </row>
    <row r="93"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7" t="n"/>
      <c r="M93" s="26" t="n"/>
      <c r="N93" s="26" t="n"/>
      <c r="O93" s="27" t="n"/>
      <c r="P93" s="26" t="n"/>
      <c r="Q93" s="26" t="n"/>
    </row>
    <row r="94"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7" t="n"/>
      <c r="M94" s="26" t="n"/>
      <c r="N94" s="26" t="n"/>
      <c r="O94" s="27" t="n"/>
      <c r="P94" s="26" t="n"/>
      <c r="Q94" s="26" t="n"/>
    </row>
    <row r="95"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7" t="n"/>
      <c r="M95" s="26" t="n"/>
      <c r="N95" s="26" t="n"/>
      <c r="O95" s="27" t="n"/>
      <c r="P95" s="26" t="n"/>
      <c r="Q95" s="26" t="n"/>
    </row>
    <row r="96"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7" t="n"/>
      <c r="M96" s="26" t="n"/>
      <c r="N96" s="26" t="n"/>
      <c r="O96" s="27" t="n"/>
      <c r="P96" s="26" t="n"/>
      <c r="Q96" s="26" t="n"/>
    </row>
    <row r="97"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7" t="n"/>
      <c r="M97" s="26" t="n"/>
      <c r="N97" s="26" t="n"/>
      <c r="O97" s="27" t="n"/>
      <c r="P97" s="26" t="n"/>
      <c r="Q97" s="26" t="n"/>
    </row>
    <row r="98"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7" t="n"/>
      <c r="M98" s="26" t="n"/>
      <c r="N98" s="26" t="n"/>
      <c r="O98" s="27" t="n"/>
      <c r="P98" s="26" t="n"/>
      <c r="Q98" s="26" t="n"/>
    </row>
    <row r="99"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7" t="n"/>
      <c r="M99" s="26" t="n"/>
      <c r="N99" s="26" t="n"/>
      <c r="O99" s="27" t="n"/>
      <c r="P99" s="26" t="n"/>
      <c r="Q99" s="26" t="n"/>
    </row>
    <row r="100"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7" t="n"/>
      <c r="M100" s="26" t="n"/>
      <c r="N100" s="26" t="n"/>
      <c r="O100" s="27" t="n"/>
      <c r="P100" s="26" t="n"/>
      <c r="Q100" s="26" t="n"/>
    </row>
    <row r="101"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7" t="n"/>
      <c r="M101" s="26" t="n"/>
      <c r="N101" s="26" t="n"/>
      <c r="O101" s="27" t="n"/>
      <c r="P101" s="26" t="n"/>
      <c r="Q101" s="26" t="n"/>
    </row>
    <row r="102"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7" t="n"/>
      <c r="M102" s="26" t="n"/>
      <c r="N102" s="26" t="n"/>
      <c r="O102" s="27" t="n"/>
      <c r="P102" s="26" t="n"/>
      <c r="Q102" s="26" t="n"/>
    </row>
    <row r="103"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7" t="n"/>
      <c r="M103" s="26" t="n"/>
      <c r="N103" s="26" t="n"/>
      <c r="O103" s="27" t="n"/>
      <c r="P103" s="26" t="n"/>
      <c r="Q103" s="26" t="n"/>
    </row>
    <row r="104"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7" t="n"/>
      <c r="M104" s="26" t="n"/>
      <c r="N104" s="26" t="n"/>
      <c r="O104" s="27" t="n"/>
      <c r="P104" s="26" t="n"/>
      <c r="Q104" s="26" t="n"/>
    </row>
    <row r="105"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7" t="n"/>
      <c r="M105" s="26" t="n"/>
      <c r="N105" s="26" t="n"/>
      <c r="O105" s="27" t="n"/>
      <c r="P105" s="26" t="n"/>
      <c r="Q105" s="26" t="n"/>
    </row>
    <row r="106"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7" t="n"/>
      <c r="M106" s="26" t="n"/>
      <c r="N106" s="26" t="n"/>
      <c r="O106" s="27" t="n"/>
      <c r="P106" s="26" t="n"/>
      <c r="Q106" s="26" t="n"/>
    </row>
    <row r="107"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7" t="n"/>
      <c r="M107" s="26" t="n"/>
      <c r="N107" s="26" t="n"/>
      <c r="O107" s="27" t="n"/>
      <c r="P107" s="26" t="n"/>
      <c r="Q107" s="26" t="n"/>
    </row>
    <row r="108"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7" t="n"/>
      <c r="M108" s="26" t="n"/>
      <c r="N108" s="26" t="n"/>
      <c r="O108" s="27" t="n"/>
      <c r="P108" s="26" t="n"/>
      <c r="Q108" s="26" t="n"/>
    </row>
    <row r="109"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7" t="n"/>
      <c r="M109" s="26" t="n"/>
      <c r="N109" s="26" t="n"/>
      <c r="O109" s="27" t="n"/>
      <c r="P109" s="26" t="n"/>
      <c r="Q109" s="26" t="n"/>
    </row>
    <row r="110"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7" t="n"/>
      <c r="M110" s="26" t="n"/>
      <c r="N110" s="26" t="n"/>
      <c r="O110" s="27" t="n"/>
      <c r="P110" s="26" t="n"/>
      <c r="Q110" s="26" t="n"/>
    </row>
    <row r="111"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7" t="n"/>
      <c r="M111" s="26" t="n"/>
      <c r="N111" s="26" t="n"/>
      <c r="O111" s="27" t="n"/>
      <c r="P111" s="26" t="n"/>
      <c r="Q111" s="26" t="n"/>
    </row>
    <row r="112"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7" t="n"/>
      <c r="M112" s="26" t="n"/>
      <c r="N112" s="26" t="n"/>
      <c r="O112" s="27" t="n"/>
      <c r="P112" s="26" t="n"/>
      <c r="Q112" s="26" t="n"/>
    </row>
    <row r="113"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7" t="n"/>
      <c r="M113" s="26" t="n"/>
      <c r="N113" s="26" t="n"/>
      <c r="O113" s="27" t="n"/>
      <c r="P113" s="26" t="n"/>
      <c r="Q113" s="26" t="n"/>
    </row>
    <row r="114"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7" t="n"/>
      <c r="M114" s="26" t="n"/>
      <c r="N114" s="26" t="n"/>
      <c r="O114" s="27" t="n"/>
      <c r="P114" s="26" t="n"/>
      <c r="Q114" s="26" t="n"/>
    </row>
    <row r="115"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7" t="n"/>
      <c r="M115" s="26" t="n"/>
      <c r="N115" s="26" t="n"/>
      <c r="O115" s="27" t="n"/>
      <c r="P115" s="26" t="n"/>
      <c r="Q115" s="26" t="n"/>
    </row>
    <row r="116"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7" t="n"/>
      <c r="M116" s="26" t="n"/>
      <c r="N116" s="26" t="n"/>
      <c r="O116" s="27" t="n"/>
      <c r="P116" s="26" t="n"/>
      <c r="Q116" s="26" t="n"/>
    </row>
    <row r="117"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7" t="n"/>
      <c r="M117" s="26" t="n"/>
      <c r="N117" s="26" t="n"/>
      <c r="O117" s="27" t="n"/>
      <c r="P117" s="26" t="n"/>
      <c r="Q117" s="26" t="n"/>
    </row>
    <row r="118"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7" t="n"/>
      <c r="M118" s="26" t="n"/>
      <c r="N118" s="26" t="n"/>
      <c r="O118" s="27" t="n"/>
      <c r="P118" s="26" t="n"/>
      <c r="Q118" s="26" t="n"/>
    </row>
    <row r="119"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7" t="n"/>
      <c r="M119" s="26" t="n"/>
      <c r="N119" s="26" t="n"/>
      <c r="O119" s="27" t="n"/>
      <c r="P119" s="26" t="n"/>
      <c r="Q119" s="26" t="n"/>
    </row>
    <row r="120"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7" t="n"/>
      <c r="M120" s="26" t="n"/>
      <c r="N120" s="26" t="n"/>
      <c r="O120" s="27" t="n"/>
      <c r="P120" s="26" t="n"/>
      <c r="Q120" s="26" t="n"/>
    </row>
    <row r="121"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7" t="n"/>
      <c r="M121" s="26" t="n"/>
      <c r="N121" s="26" t="n"/>
      <c r="O121" s="27" t="n"/>
      <c r="P121" s="26" t="n"/>
      <c r="Q121" s="26" t="n"/>
    </row>
    <row r="122"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7" t="n"/>
      <c r="M122" s="26" t="n"/>
      <c r="N122" s="26" t="n"/>
      <c r="O122" s="27" t="n"/>
      <c r="P122" s="26" t="n"/>
      <c r="Q122" s="26" t="n"/>
    </row>
    <row r="123"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7" t="n"/>
      <c r="M123" s="26" t="n"/>
      <c r="N123" s="26" t="n"/>
      <c r="O123" s="27" t="n"/>
      <c r="P123" s="26" t="n"/>
      <c r="Q123" s="26" t="n"/>
    </row>
    <row r="124"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7" t="n"/>
      <c r="M124" s="26" t="n"/>
      <c r="N124" s="26" t="n"/>
      <c r="O124" s="27" t="n"/>
      <c r="P124" s="26" t="n"/>
      <c r="Q124" s="26" t="n"/>
    </row>
    <row r="125"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7" t="n"/>
      <c r="M125" s="26" t="n"/>
      <c r="N125" s="26" t="n"/>
      <c r="O125" s="27" t="n"/>
      <c r="P125" s="26" t="n"/>
      <c r="Q125" s="26" t="n"/>
    </row>
    <row r="126"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7" t="n"/>
      <c r="M126" s="26" t="n"/>
      <c r="N126" s="26" t="n"/>
      <c r="O126" s="27" t="n"/>
      <c r="P126" s="26" t="n"/>
      <c r="Q126" s="26" t="n"/>
    </row>
    <row r="127"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7" t="n"/>
      <c r="M127" s="26" t="n"/>
      <c r="N127" s="26" t="n"/>
      <c r="O127" s="27" t="n"/>
      <c r="P127" s="26" t="n"/>
      <c r="Q127" s="26" t="n"/>
    </row>
    <row r="128"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7" t="n"/>
      <c r="M128" s="26" t="n"/>
      <c r="N128" s="26" t="n"/>
      <c r="O128" s="27" t="n"/>
      <c r="P128" s="26" t="n"/>
      <c r="Q128" s="26" t="n"/>
    </row>
    <row r="129"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7" t="n"/>
      <c r="M129" s="26" t="n"/>
      <c r="N129" s="26" t="n"/>
      <c r="O129" s="27" t="n"/>
      <c r="P129" s="26" t="n"/>
      <c r="Q129" s="26" t="n"/>
    </row>
    <row r="130"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7" t="n"/>
      <c r="M130" s="26" t="n"/>
      <c r="N130" s="26" t="n"/>
      <c r="O130" s="27" t="n"/>
      <c r="P130" s="26" t="n"/>
      <c r="Q130" s="26" t="n"/>
    </row>
    <row r="131"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7" t="n"/>
      <c r="M131" s="26" t="n"/>
      <c r="N131" s="26" t="n"/>
      <c r="O131" s="27" t="n"/>
      <c r="P131" s="26" t="n"/>
      <c r="Q131" s="26" t="n"/>
    </row>
    <row r="132"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7" t="n"/>
      <c r="M132" s="26" t="n"/>
      <c r="N132" s="26" t="n"/>
      <c r="O132" s="27" t="n"/>
      <c r="P132" s="26" t="n"/>
      <c r="Q132" s="26" t="n"/>
    </row>
    <row r="133"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7" t="n"/>
      <c r="M133" s="26" t="n"/>
      <c r="N133" s="26" t="n"/>
      <c r="O133" s="27" t="n"/>
      <c r="P133" s="26" t="n"/>
      <c r="Q133" s="26" t="n"/>
    </row>
    <row r="134"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7" t="n"/>
      <c r="M134" s="26" t="n"/>
      <c r="N134" s="26" t="n"/>
      <c r="O134" s="27" t="n"/>
      <c r="P134" s="26" t="n"/>
      <c r="Q134" s="26" t="n"/>
    </row>
    <row r="135"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7" t="n"/>
      <c r="M135" s="26" t="n"/>
      <c r="N135" s="26" t="n"/>
      <c r="O135" s="27" t="n"/>
      <c r="P135" s="26" t="n"/>
      <c r="Q135" s="26" t="n"/>
    </row>
    <row r="136"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7" t="n"/>
      <c r="M136" s="26" t="n"/>
      <c r="N136" s="26" t="n"/>
      <c r="O136" s="27" t="n"/>
      <c r="P136" s="26" t="n"/>
      <c r="Q136" s="26" t="n"/>
    </row>
    <row r="137"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7" t="n"/>
      <c r="M137" s="26" t="n"/>
      <c r="N137" s="26" t="n"/>
      <c r="O137" s="27" t="n"/>
      <c r="P137" s="26" t="n"/>
      <c r="Q137" s="26" t="n"/>
    </row>
    <row r="138"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7" t="n"/>
      <c r="M138" s="26" t="n"/>
      <c r="N138" s="26" t="n"/>
      <c r="O138" s="27" t="n"/>
      <c r="P138" s="26" t="n"/>
      <c r="Q138" s="26" t="n"/>
    </row>
    <row r="139"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7" t="n"/>
      <c r="M139" s="26" t="n"/>
      <c r="N139" s="26" t="n"/>
      <c r="O139" s="27" t="n"/>
      <c r="P139" s="26" t="n"/>
      <c r="Q139" s="26" t="n"/>
    </row>
    <row r="140"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7" t="n"/>
      <c r="M140" s="26" t="n"/>
      <c r="N140" s="26" t="n"/>
      <c r="O140" s="27" t="n"/>
      <c r="P140" s="26" t="n"/>
      <c r="Q140" s="26" t="n"/>
    </row>
    <row r="141"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7" t="n"/>
      <c r="M141" s="26" t="n"/>
      <c r="N141" s="26" t="n"/>
      <c r="O141" s="27" t="n"/>
      <c r="P141" s="26" t="n"/>
      <c r="Q141" s="26" t="n"/>
    </row>
    <row r="142"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7" t="n"/>
      <c r="M142" s="26" t="n"/>
      <c r="N142" s="26" t="n"/>
      <c r="O142" s="27" t="n"/>
      <c r="P142" s="26" t="n"/>
      <c r="Q142" s="26" t="n"/>
    </row>
    <row r="143"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7" t="n"/>
      <c r="M143" s="26" t="n"/>
      <c r="N143" s="26" t="n"/>
      <c r="O143" s="27" t="n"/>
      <c r="P143" s="26" t="n"/>
      <c r="Q143" s="26" t="n"/>
    </row>
    <row r="144"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7" t="n"/>
      <c r="M144" s="26" t="n"/>
      <c r="N144" s="26" t="n"/>
      <c r="O144" s="27" t="n"/>
      <c r="P144" s="26" t="n"/>
      <c r="Q144" s="26" t="n"/>
    </row>
    <row r="145"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7" t="n"/>
      <c r="M145" s="26" t="n"/>
      <c r="N145" s="26" t="n"/>
      <c r="O145" s="27" t="n"/>
      <c r="P145" s="26" t="n"/>
      <c r="Q145" s="26" t="n"/>
    </row>
    <row r="146"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7" t="n"/>
      <c r="M146" s="26" t="n"/>
      <c r="N146" s="26" t="n"/>
      <c r="O146" s="27" t="n"/>
      <c r="P146" s="26" t="n"/>
      <c r="Q146" s="26" t="n"/>
    </row>
    <row r="147"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7" t="n"/>
      <c r="M147" s="26" t="n"/>
      <c r="N147" s="26" t="n"/>
      <c r="O147" s="27" t="n"/>
      <c r="P147" s="26" t="n"/>
      <c r="Q147" s="26" t="n"/>
    </row>
    <row r="148"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7" t="n"/>
      <c r="M148" s="26" t="n"/>
      <c r="N148" s="26" t="n"/>
      <c r="O148" s="27" t="n"/>
      <c r="P148" s="26" t="n"/>
      <c r="Q148" s="26" t="n"/>
    </row>
    <row r="149"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7" t="n"/>
      <c r="M149" s="26" t="n"/>
      <c r="N149" s="26" t="n"/>
      <c r="O149" s="27" t="n"/>
      <c r="P149" s="26" t="n"/>
      <c r="Q149" s="26" t="n"/>
    </row>
    <row r="150"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7" t="n"/>
      <c r="M150" s="26" t="n"/>
      <c r="N150" s="26" t="n"/>
      <c r="O150" s="27" t="n"/>
      <c r="P150" s="26" t="n"/>
      <c r="Q150" s="26" t="n"/>
    </row>
    <row r="151"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7" t="n"/>
      <c r="M151" s="26" t="n"/>
      <c r="N151" s="26" t="n"/>
      <c r="O151" s="27" t="n"/>
      <c r="P151" s="26" t="n"/>
      <c r="Q151" s="26" t="n"/>
    </row>
    <row r="152"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7" t="n"/>
      <c r="M152" s="26" t="n"/>
      <c r="N152" s="26" t="n"/>
      <c r="O152" s="27" t="n"/>
      <c r="P152" s="26" t="n"/>
      <c r="Q152" s="26" t="n"/>
    </row>
    <row r="153"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7" t="n"/>
      <c r="M153" s="26" t="n"/>
      <c r="N153" s="26" t="n"/>
      <c r="O153" s="27" t="n"/>
      <c r="P153" s="26" t="n"/>
      <c r="Q153" s="26" t="n"/>
    </row>
    <row r="154"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7" t="n"/>
      <c r="M154" s="26" t="n"/>
      <c r="N154" s="26" t="n"/>
      <c r="O154" s="27" t="n"/>
      <c r="P154" s="26" t="n"/>
      <c r="Q154" s="26" t="n"/>
    </row>
    <row r="155"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7" t="n"/>
      <c r="M155" s="26" t="n"/>
      <c r="N155" s="26" t="n"/>
      <c r="O155" s="27" t="n"/>
      <c r="P155" s="26" t="n"/>
      <c r="Q155" s="26" t="n"/>
    </row>
    <row r="156"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7" t="n"/>
      <c r="M156" s="26" t="n"/>
      <c r="N156" s="26" t="n"/>
      <c r="O156" s="27" t="n"/>
      <c r="P156" s="26" t="n"/>
      <c r="Q156" s="26" t="n"/>
    </row>
    <row r="157"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7" t="n"/>
      <c r="M157" s="26" t="n"/>
      <c r="N157" s="26" t="n"/>
      <c r="O157" s="27" t="n"/>
      <c r="P157" s="26" t="n"/>
      <c r="Q157" s="26" t="n"/>
    </row>
    <row r="158"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7" t="n"/>
      <c r="M158" s="26" t="n"/>
      <c r="N158" s="26" t="n"/>
      <c r="O158" s="27" t="n"/>
      <c r="P158" s="26" t="n"/>
      <c r="Q158" s="26" t="n"/>
    </row>
    <row r="159"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7" t="n"/>
      <c r="M159" s="26" t="n"/>
      <c r="N159" s="26" t="n"/>
      <c r="O159" s="27" t="n"/>
      <c r="P159" s="26" t="n"/>
      <c r="Q159" s="26" t="n"/>
    </row>
    <row r="160"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7" t="n"/>
      <c r="M160" s="26" t="n"/>
      <c r="N160" s="26" t="n"/>
      <c r="O160" s="27" t="n"/>
      <c r="P160" s="26" t="n"/>
      <c r="Q160" s="26" t="n"/>
    </row>
    <row r="161"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7" t="n"/>
      <c r="M161" s="26" t="n"/>
      <c r="N161" s="26" t="n"/>
      <c r="O161" s="27" t="n"/>
      <c r="P161" s="26" t="n"/>
      <c r="Q161" s="26" t="n"/>
    </row>
    <row r="162"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7" t="n"/>
      <c r="M162" s="26" t="n"/>
      <c r="N162" s="26" t="n"/>
      <c r="O162" s="27" t="n"/>
      <c r="P162" s="26" t="n"/>
      <c r="Q162" s="26" t="n"/>
    </row>
    <row r="163"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7" t="n"/>
      <c r="M163" s="26" t="n"/>
      <c r="N163" s="26" t="n"/>
      <c r="O163" s="27" t="n"/>
      <c r="P163" s="26" t="n"/>
      <c r="Q163" s="26" t="n"/>
    </row>
    <row r="164"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7" t="n"/>
      <c r="M164" s="26" t="n"/>
      <c r="N164" s="26" t="n"/>
      <c r="O164" s="27" t="n"/>
      <c r="P164" s="26" t="n"/>
      <c r="Q164" s="26" t="n"/>
    </row>
    <row r="165"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7" t="n"/>
      <c r="M165" s="26" t="n"/>
      <c r="N165" s="26" t="n"/>
      <c r="O165" s="27" t="n"/>
      <c r="P165" s="26" t="n"/>
      <c r="Q165" s="26" t="n"/>
    </row>
    <row r="166"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7" t="n"/>
      <c r="M166" s="26" t="n"/>
      <c r="N166" s="26" t="n"/>
      <c r="O166" s="27" t="n"/>
      <c r="P166" s="26" t="n"/>
      <c r="Q166" s="26" t="n"/>
    </row>
    <row r="167"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7" t="n"/>
      <c r="M167" s="26" t="n"/>
      <c r="N167" s="26" t="n"/>
      <c r="O167" s="27" t="n"/>
      <c r="P167" s="26" t="n"/>
      <c r="Q167" s="26" t="n"/>
    </row>
    <row r="168"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7" t="n"/>
      <c r="M168" s="26" t="n"/>
      <c r="N168" s="26" t="n"/>
      <c r="O168" s="27" t="n"/>
      <c r="P168" s="26" t="n"/>
      <c r="Q168" s="26" t="n"/>
    </row>
    <row r="169"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7" t="n"/>
      <c r="M169" s="26" t="n"/>
      <c r="N169" s="26" t="n"/>
      <c r="O169" s="27" t="n"/>
      <c r="P169" s="26" t="n"/>
      <c r="Q169" s="26" t="n"/>
    </row>
    <row r="170"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7" t="n"/>
      <c r="M170" s="26" t="n"/>
      <c r="N170" s="26" t="n"/>
      <c r="O170" s="27" t="n"/>
      <c r="P170" s="26" t="n"/>
      <c r="Q170" s="26" t="n"/>
    </row>
    <row r="171"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7" t="n"/>
      <c r="M171" s="26" t="n"/>
      <c r="N171" s="26" t="n"/>
      <c r="O171" s="27" t="n"/>
      <c r="P171" s="26" t="n"/>
      <c r="Q171" s="26" t="n"/>
    </row>
    <row r="172"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7" t="n"/>
      <c r="M172" s="26" t="n"/>
      <c r="N172" s="26" t="n"/>
      <c r="O172" s="27" t="n"/>
      <c r="P172" s="26" t="n"/>
      <c r="Q172" s="26" t="n"/>
    </row>
    <row r="173"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7" t="n"/>
      <c r="M173" s="26" t="n"/>
      <c r="N173" s="26" t="n"/>
      <c r="O173" s="27" t="n"/>
      <c r="P173" s="26" t="n"/>
      <c r="Q173" s="26" t="n"/>
    </row>
    <row r="174"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7" t="n"/>
      <c r="M174" s="26" t="n"/>
      <c r="N174" s="26" t="n"/>
      <c r="O174" s="27" t="n"/>
      <c r="P174" s="26" t="n"/>
      <c r="Q174" s="26" t="n"/>
    </row>
    <row r="175"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7" t="n"/>
      <c r="M175" s="26" t="n"/>
      <c r="N175" s="26" t="n"/>
      <c r="O175" s="27" t="n"/>
      <c r="P175" s="26" t="n"/>
      <c r="Q175" s="26" t="n"/>
    </row>
    <row r="176"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7" t="n"/>
      <c r="M176" s="26" t="n"/>
      <c r="N176" s="26" t="n"/>
      <c r="O176" s="27" t="n"/>
      <c r="P176" s="26" t="n"/>
      <c r="Q176" s="26" t="n"/>
    </row>
    <row r="177"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7" t="n"/>
      <c r="M177" s="26" t="n"/>
      <c r="N177" s="26" t="n"/>
      <c r="O177" s="27" t="n"/>
      <c r="P177" s="26" t="n"/>
      <c r="Q177" s="26" t="n"/>
    </row>
    <row r="178"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7" t="n"/>
      <c r="M178" s="26" t="n"/>
      <c r="N178" s="26" t="n"/>
      <c r="O178" s="27" t="n"/>
      <c r="P178" s="26" t="n"/>
      <c r="Q178" s="26" t="n"/>
    </row>
    <row r="179"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7" t="n"/>
      <c r="M179" s="26" t="n"/>
      <c r="N179" s="26" t="n"/>
      <c r="O179" s="27" t="n"/>
      <c r="P179" s="26" t="n"/>
      <c r="Q179" s="26" t="n"/>
    </row>
    <row r="180"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7" t="n"/>
      <c r="M180" s="26" t="n"/>
      <c r="N180" s="26" t="n"/>
      <c r="O180" s="27" t="n"/>
      <c r="P180" s="26" t="n"/>
      <c r="Q180" s="26" t="n"/>
    </row>
    <row r="181"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7" t="n"/>
      <c r="M181" s="26" t="n"/>
      <c r="N181" s="26" t="n"/>
      <c r="O181" s="27" t="n"/>
      <c r="P181" s="26" t="n"/>
      <c r="Q181" s="26" t="n"/>
    </row>
    <row r="182"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7" t="n"/>
      <c r="M182" s="26" t="n"/>
      <c r="N182" s="26" t="n"/>
      <c r="O182" s="27" t="n"/>
      <c r="P182" s="26" t="n"/>
      <c r="Q182" s="26" t="n"/>
    </row>
    <row r="183"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7" t="n"/>
      <c r="M183" s="26" t="n"/>
      <c r="N183" s="26" t="n"/>
      <c r="O183" s="27" t="n"/>
      <c r="P183" s="26" t="n"/>
      <c r="Q183" s="26" t="n"/>
    </row>
    <row r="184"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7" t="n"/>
      <c r="M184" s="26" t="n"/>
      <c r="N184" s="26" t="n"/>
      <c r="O184" s="27" t="n"/>
      <c r="P184" s="26" t="n"/>
      <c r="Q184" s="26" t="n"/>
    </row>
    <row r="185"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7" t="n"/>
      <c r="M185" s="26" t="n"/>
      <c r="N185" s="26" t="n"/>
      <c r="O185" s="27" t="n"/>
      <c r="P185" s="26" t="n"/>
      <c r="Q185" s="26" t="n"/>
    </row>
    <row r="186"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7" t="n"/>
      <c r="M186" s="26" t="n"/>
      <c r="N186" s="26" t="n"/>
      <c r="O186" s="27" t="n"/>
      <c r="P186" s="26" t="n"/>
      <c r="Q186" s="26" t="n"/>
    </row>
    <row r="187"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7" t="n"/>
      <c r="M187" s="26" t="n"/>
      <c r="N187" s="26" t="n"/>
      <c r="O187" s="27" t="n"/>
      <c r="P187" s="26" t="n"/>
      <c r="Q187" s="26" t="n"/>
    </row>
    <row r="188"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7" t="n"/>
      <c r="M188" s="26" t="n"/>
      <c r="N188" s="26" t="n"/>
      <c r="O188" s="27" t="n"/>
      <c r="P188" s="26" t="n"/>
      <c r="Q188" s="26" t="n"/>
    </row>
    <row r="189"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7" t="n"/>
      <c r="M189" s="26" t="n"/>
      <c r="N189" s="26" t="n"/>
      <c r="O189" s="27" t="n"/>
      <c r="P189" s="26" t="n"/>
      <c r="Q189" s="26" t="n"/>
    </row>
    <row r="190"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7" t="n"/>
      <c r="M190" s="26" t="n"/>
      <c r="N190" s="26" t="n"/>
      <c r="O190" s="27" t="n"/>
      <c r="P190" s="26" t="n"/>
      <c r="Q190" s="26" t="n"/>
    </row>
    <row r="191"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7" t="n"/>
      <c r="M191" s="26" t="n"/>
      <c r="N191" s="26" t="n"/>
      <c r="O191" s="27" t="n"/>
      <c r="P191" s="26" t="n"/>
      <c r="Q191" s="26" t="n"/>
    </row>
    <row r="192"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7" t="n"/>
      <c r="M192" s="26" t="n"/>
      <c r="N192" s="26" t="n"/>
      <c r="O192" s="27" t="n"/>
      <c r="P192" s="26" t="n"/>
      <c r="Q192" s="26" t="n"/>
    </row>
    <row r="193"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7" t="n"/>
      <c r="M193" s="26" t="n"/>
      <c r="N193" s="26" t="n"/>
      <c r="O193" s="27" t="n"/>
      <c r="P193" s="26" t="n"/>
      <c r="Q193" s="26" t="n"/>
    </row>
    <row r="194"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7" t="n"/>
      <c r="M194" s="26" t="n"/>
      <c r="N194" s="26" t="n"/>
      <c r="O194" s="27" t="n"/>
      <c r="P194" s="26" t="n"/>
      <c r="Q194" s="26" t="n"/>
    </row>
    <row r="195"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7" t="n"/>
      <c r="M195" s="26" t="n"/>
      <c r="N195" s="26" t="n"/>
      <c r="O195" s="27" t="n"/>
      <c r="P195" s="26" t="n"/>
      <c r="Q195" s="26" t="n"/>
    </row>
    <row r="196"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7" t="n"/>
      <c r="M196" s="26" t="n"/>
      <c r="N196" s="26" t="n"/>
      <c r="O196" s="27" t="n"/>
      <c r="P196" s="26" t="n"/>
      <c r="Q196" s="26" t="n"/>
    </row>
    <row r="197"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7" t="n"/>
      <c r="M197" s="26" t="n"/>
      <c r="N197" s="26" t="n"/>
      <c r="O197" s="27" t="n"/>
      <c r="P197" s="26" t="n"/>
      <c r="Q197" s="26" t="n"/>
    </row>
    <row r="198"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7" t="n"/>
      <c r="M198" s="26" t="n"/>
      <c r="N198" s="26" t="n"/>
      <c r="O198" s="27" t="n"/>
      <c r="P198" s="26" t="n"/>
      <c r="Q198" s="26" t="n"/>
    </row>
    <row r="199"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7" t="n"/>
      <c r="M199" s="26" t="n"/>
      <c r="N199" s="26" t="n"/>
      <c r="O199" s="27" t="n"/>
      <c r="P199" s="26" t="n"/>
      <c r="Q199" s="26" t="n"/>
    </row>
    <row r="200"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7" t="n"/>
      <c r="M200" s="26" t="n"/>
      <c r="N200" s="26" t="n"/>
      <c r="O200" s="27" t="n"/>
      <c r="P200" s="26" t="n"/>
      <c r="Q200" s="26" t="n"/>
    </row>
    <row r="201"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7" t="n"/>
      <c r="M201" s="26" t="n"/>
      <c r="N201" s="26" t="n"/>
      <c r="O201" s="27" t="n"/>
      <c r="P201" s="26" t="n"/>
      <c r="Q201" s="26" t="n"/>
    </row>
    <row r="202"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7" t="n"/>
      <c r="M202" s="26" t="n"/>
      <c r="N202" s="26" t="n"/>
      <c r="O202" s="27" t="n"/>
      <c r="P202" s="26" t="n"/>
      <c r="Q202" s="26" t="n"/>
    </row>
    <row r="203"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7" t="n"/>
      <c r="M203" s="26" t="n"/>
      <c r="N203" s="26" t="n"/>
      <c r="O203" s="27" t="n"/>
      <c r="P203" s="26" t="n"/>
      <c r="Q203" s="26" t="n"/>
    </row>
    <row r="204"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7" t="n"/>
      <c r="M204" s="26" t="n"/>
      <c r="N204" s="26" t="n"/>
      <c r="O204" s="27" t="n"/>
      <c r="P204" s="26" t="n"/>
      <c r="Q204" s="26" t="n"/>
    </row>
    <row r="205"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7" t="n"/>
      <c r="M205" s="26" t="n"/>
      <c r="N205" s="26" t="n"/>
      <c r="O205" s="27" t="n"/>
      <c r="P205" s="26" t="n"/>
      <c r="Q205" s="26" t="n"/>
    </row>
    <row r="206"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7" t="n"/>
      <c r="M206" s="26" t="n"/>
      <c r="N206" s="26" t="n"/>
      <c r="O206" s="27" t="n"/>
      <c r="P206" s="26" t="n"/>
      <c r="Q206" s="26" t="n"/>
    </row>
    <row r="207"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7" t="n"/>
      <c r="M207" s="26" t="n"/>
      <c r="N207" s="26" t="n"/>
      <c r="O207" s="27" t="n"/>
      <c r="P207" s="26" t="n"/>
      <c r="Q207" s="26" t="n"/>
    </row>
    <row r="208"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7" t="n"/>
      <c r="M208" s="26" t="n"/>
      <c r="N208" s="26" t="n"/>
      <c r="O208" s="27" t="n"/>
      <c r="P208" s="26" t="n"/>
      <c r="Q208" s="26" t="n"/>
    </row>
    <row r="209"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7" t="n"/>
      <c r="M209" s="26" t="n"/>
      <c r="N209" s="26" t="n"/>
      <c r="O209" s="27" t="n"/>
      <c r="P209" s="26" t="n"/>
      <c r="Q209" s="26" t="n"/>
    </row>
    <row r="210"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7" t="n"/>
      <c r="M210" s="26" t="n"/>
      <c r="N210" s="26" t="n"/>
      <c r="O210" s="27" t="n"/>
      <c r="P210" s="26" t="n"/>
      <c r="Q210" s="26" t="n"/>
    </row>
    <row r="211"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7" t="n"/>
      <c r="M211" s="26" t="n"/>
      <c r="N211" s="26" t="n"/>
      <c r="O211" s="27" t="n"/>
      <c r="P211" s="26" t="n"/>
      <c r="Q211" s="26" t="n"/>
    </row>
    <row r="212"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7" t="n"/>
      <c r="M212" s="26" t="n"/>
      <c r="N212" s="26" t="n"/>
      <c r="O212" s="27" t="n"/>
      <c r="P212" s="26" t="n"/>
      <c r="Q212" s="26" t="n"/>
    </row>
    <row r="213"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7" t="n"/>
      <c r="M213" s="26" t="n"/>
      <c r="N213" s="26" t="n"/>
      <c r="O213" s="27" t="n"/>
      <c r="P213" s="26" t="n"/>
      <c r="Q213" s="26" t="n"/>
    </row>
    <row r="214"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7" t="n"/>
      <c r="M214" s="26" t="n"/>
      <c r="N214" s="26" t="n"/>
      <c r="O214" s="27" t="n"/>
      <c r="P214" s="26" t="n"/>
      <c r="Q214" s="26" t="n"/>
    </row>
    <row r="215"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7" t="n"/>
      <c r="M215" s="26" t="n"/>
      <c r="N215" s="26" t="n"/>
      <c r="O215" s="27" t="n"/>
      <c r="P215" s="26" t="n"/>
      <c r="Q215" s="26" t="n"/>
    </row>
    <row r="216"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7" t="n"/>
      <c r="M216" s="26" t="n"/>
      <c r="N216" s="26" t="n"/>
      <c r="O216" s="27" t="n"/>
      <c r="P216" s="26" t="n"/>
      <c r="Q216" s="26" t="n"/>
    </row>
    <row r="217"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7" t="n"/>
      <c r="M217" s="26" t="n"/>
      <c r="N217" s="26" t="n"/>
      <c r="O217" s="27" t="n"/>
      <c r="P217" s="26" t="n"/>
      <c r="Q217" s="26" t="n"/>
    </row>
    <row r="218"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7" t="n"/>
      <c r="M218" s="26" t="n"/>
      <c r="N218" s="26" t="n"/>
      <c r="O218" s="27" t="n"/>
      <c r="P218" s="26" t="n"/>
      <c r="Q218" s="26" t="n"/>
    </row>
    <row r="219"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7" t="n"/>
      <c r="M219" s="26" t="n"/>
      <c r="N219" s="26" t="n"/>
      <c r="O219" s="27" t="n"/>
      <c r="P219" s="26" t="n"/>
      <c r="Q219" s="26" t="n"/>
    </row>
    <row r="220"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7" t="n"/>
      <c r="M220" s="26" t="n"/>
      <c r="N220" s="26" t="n"/>
      <c r="O220" s="27" t="n"/>
      <c r="P220" s="26" t="n"/>
      <c r="Q220" s="26" t="n"/>
    </row>
    <row r="221"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7" t="n"/>
      <c r="M221" s="26" t="n"/>
      <c r="N221" s="26" t="n"/>
      <c r="O221" s="27" t="n"/>
      <c r="P221" s="26" t="n"/>
      <c r="Q221" s="26" t="n"/>
    </row>
    <row r="222"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7" t="n"/>
      <c r="M222" s="26" t="n"/>
      <c r="N222" s="26" t="n"/>
      <c r="O222" s="27" t="n"/>
      <c r="P222" s="26" t="n"/>
      <c r="Q222" s="26" t="n"/>
    </row>
    <row r="223"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7" t="n"/>
      <c r="M223" s="26" t="n"/>
      <c r="N223" s="26" t="n"/>
      <c r="O223" s="27" t="n"/>
      <c r="P223" s="26" t="n"/>
      <c r="Q223" s="26" t="n"/>
    </row>
    <row r="224"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7" t="n"/>
      <c r="M224" s="26" t="n"/>
      <c r="N224" s="26" t="n"/>
      <c r="O224" s="27" t="n"/>
      <c r="P224" s="26" t="n"/>
      <c r="Q224" s="26" t="n"/>
    </row>
    <row r="225"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7" t="n"/>
      <c r="M225" s="26" t="n"/>
      <c r="N225" s="26" t="n"/>
      <c r="O225" s="27" t="n"/>
      <c r="P225" s="26" t="n"/>
      <c r="Q225" s="26" t="n"/>
    </row>
    <row r="226"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7" t="n"/>
      <c r="M226" s="26" t="n"/>
      <c r="N226" s="26" t="n"/>
      <c r="O226" s="27" t="n"/>
      <c r="P226" s="26" t="n"/>
      <c r="Q226" s="26" t="n"/>
    </row>
    <row r="227"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7" t="n"/>
      <c r="M227" s="26" t="n"/>
      <c r="N227" s="26" t="n"/>
      <c r="O227" s="27" t="n"/>
      <c r="P227" s="26" t="n"/>
      <c r="Q227" s="26" t="n"/>
    </row>
    <row r="228"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7" t="n"/>
      <c r="M228" s="26" t="n"/>
      <c r="N228" s="26" t="n"/>
      <c r="O228" s="27" t="n"/>
      <c r="P228" s="26" t="n"/>
      <c r="Q228" s="26" t="n"/>
    </row>
    <row r="229"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7" t="n"/>
      <c r="M229" s="26" t="n"/>
      <c r="N229" s="26" t="n"/>
      <c r="O229" s="27" t="n"/>
      <c r="P229" s="26" t="n"/>
      <c r="Q229" s="26" t="n"/>
    </row>
    <row r="230"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7" t="n"/>
      <c r="M230" s="26" t="n"/>
      <c r="N230" s="26" t="n"/>
      <c r="O230" s="27" t="n"/>
      <c r="P230" s="26" t="n"/>
      <c r="Q230" s="26" t="n"/>
    </row>
    <row r="231"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7" t="n"/>
      <c r="M231" s="26" t="n"/>
      <c r="N231" s="26" t="n"/>
      <c r="O231" s="27" t="n"/>
      <c r="P231" s="26" t="n"/>
      <c r="Q231" s="26" t="n"/>
    </row>
    <row r="232"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7" t="n"/>
      <c r="M232" s="26" t="n"/>
      <c r="N232" s="26" t="n"/>
      <c r="O232" s="27" t="n"/>
      <c r="P232" s="26" t="n"/>
      <c r="Q232" s="26" t="n"/>
    </row>
    <row r="233"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7" t="n"/>
      <c r="M233" s="26" t="n"/>
      <c r="N233" s="26" t="n"/>
      <c r="O233" s="27" t="n"/>
      <c r="P233" s="26" t="n"/>
      <c r="Q233" s="26" t="n"/>
    </row>
    <row r="234"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7" t="n"/>
      <c r="M234" s="26" t="n"/>
      <c r="N234" s="26" t="n"/>
      <c r="O234" s="27" t="n"/>
      <c r="P234" s="26" t="n"/>
      <c r="Q234" s="26" t="n"/>
    </row>
    <row r="235"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7" t="n"/>
      <c r="M235" s="26" t="n"/>
      <c r="N235" s="26" t="n"/>
      <c r="O235" s="27" t="n"/>
      <c r="P235" s="26" t="n"/>
      <c r="Q235" s="26" t="n"/>
    </row>
    <row r="236"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7" t="n"/>
      <c r="M236" s="26" t="n"/>
      <c r="N236" s="26" t="n"/>
      <c r="O236" s="27" t="n"/>
      <c r="P236" s="26" t="n"/>
      <c r="Q236" s="26" t="n"/>
    </row>
    <row r="237"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7" t="n"/>
      <c r="M237" s="26" t="n"/>
      <c r="N237" s="26" t="n"/>
      <c r="O237" s="27" t="n"/>
      <c r="P237" s="26" t="n"/>
      <c r="Q237" s="26" t="n"/>
    </row>
    <row r="238"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7" t="n"/>
      <c r="M238" s="26" t="n"/>
      <c r="N238" s="26" t="n"/>
      <c r="O238" s="27" t="n"/>
      <c r="P238" s="26" t="n"/>
      <c r="Q238" s="26" t="n"/>
    </row>
    <row r="239"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7" t="n"/>
      <c r="M239" s="26" t="n"/>
      <c r="N239" s="26" t="n"/>
      <c r="O239" s="27" t="n"/>
      <c r="P239" s="26" t="n"/>
      <c r="Q239" s="26" t="n"/>
    </row>
    <row r="240"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7" t="n"/>
      <c r="M240" s="26" t="n"/>
      <c r="N240" s="26" t="n"/>
      <c r="O240" s="27" t="n"/>
      <c r="P240" s="26" t="n"/>
      <c r="Q240" s="26" t="n"/>
    </row>
    <row r="241"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7" t="n"/>
      <c r="M241" s="26" t="n"/>
      <c r="N241" s="26" t="n"/>
      <c r="O241" s="27" t="n"/>
      <c r="P241" s="26" t="n"/>
      <c r="Q241" s="26" t="n"/>
    </row>
    <row r="242"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7" t="n"/>
      <c r="M242" s="26" t="n"/>
      <c r="N242" s="26" t="n"/>
      <c r="O242" s="27" t="n"/>
      <c r="P242" s="26" t="n"/>
      <c r="Q242" s="26" t="n"/>
    </row>
    <row r="243"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7" t="n"/>
      <c r="M243" s="26" t="n"/>
      <c r="N243" s="26" t="n"/>
      <c r="O243" s="27" t="n"/>
      <c r="P243" s="26" t="n"/>
      <c r="Q243" s="26" t="n"/>
    </row>
    <row r="244"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7" t="n"/>
      <c r="M244" s="26" t="n"/>
      <c r="N244" s="26" t="n"/>
      <c r="O244" s="27" t="n"/>
      <c r="P244" s="26" t="n"/>
      <c r="Q244" s="26" t="n"/>
    </row>
    <row r="245"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7" t="n"/>
      <c r="M245" s="26" t="n"/>
      <c r="N245" s="26" t="n"/>
      <c r="O245" s="27" t="n"/>
      <c r="P245" s="26" t="n"/>
      <c r="Q245" s="26" t="n"/>
    </row>
    <row r="246"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7" t="n"/>
      <c r="M246" s="26" t="n"/>
      <c r="N246" s="26" t="n"/>
      <c r="O246" s="27" t="n"/>
      <c r="P246" s="26" t="n"/>
      <c r="Q246" s="26" t="n"/>
    </row>
    <row r="247"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7" t="n"/>
      <c r="M247" s="26" t="n"/>
      <c r="N247" s="26" t="n"/>
      <c r="O247" s="27" t="n"/>
      <c r="P247" s="26" t="n"/>
      <c r="Q247" s="26" t="n"/>
    </row>
    <row r="248"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7" t="n"/>
      <c r="M248" s="26" t="n"/>
      <c r="N248" s="26" t="n"/>
      <c r="O248" s="27" t="n"/>
      <c r="P248" s="26" t="n"/>
      <c r="Q248" s="26" t="n"/>
    </row>
    <row r="249"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7" t="n"/>
      <c r="M249" s="26" t="n"/>
      <c r="N249" s="26" t="n"/>
      <c r="O249" s="27" t="n"/>
      <c r="P249" s="26" t="n"/>
      <c r="Q249" s="26" t="n"/>
    </row>
    <row r="250"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7" t="n"/>
      <c r="M250" s="26" t="n"/>
      <c r="N250" s="26" t="n"/>
      <c r="O250" s="27" t="n"/>
      <c r="P250" s="26" t="n"/>
      <c r="Q250" s="26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B6:Q6"/>
    <mergeCell ref="B5:Q5"/>
  </mergeCells>
  <conditionalFormatting sqref="B5:Q5">
    <cfRule type="expression" priority="1" dxfId="0">
      <formula>ISNUMBER(SEARCH("❌",B5))</formula>
    </cfRule>
  </conditionalFormatting>
  <dataValidations count="2">
    <dataValidation sqref="D9:D500" showDropDown="0" showInputMessage="0" showErrorMessage="0" allowBlank="1" type="list">
      <formula1>Ref_Lookup!$A$2:$A$12</formula1>
    </dataValidation>
    <dataValidation sqref="E9:E500" showDropDown="0" showInputMessage="0" showErrorMessage="0" allowBlank="1" type="list">
      <formula1>Ref_Lookup!$B$2:$B$4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8" t="inlineStr">
        <is>
          <t>Jurisdiction_Master</t>
        </is>
      </c>
      <c r="B1" s="28" t="inlineStr">
        <is>
          <t>UGA_Classification</t>
        </is>
      </c>
      <c r="C1" s="29" t="inlineStr">
        <is>
          <t>Official_Header_Schema</t>
        </is>
      </c>
      <c r="D1" s="28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30" t="inlineStr">
        <is>
          <t>Record_ID|Reporting_Year|Jurisdiction|UGA_Type|Single_Family_Units|Duplex_Units|MultiFamily_3_4_Units|MultiFamily_5_Plus_Units|ADU_Units|Mobile_Home_Units|Total_Permitted_Units|Completed_Units|Demolished_Units|Net_New_Units|Total_Valuation_USD|Data_Source_Reference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Reporting_Year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Jurisdiction</t>
        </is>
      </c>
    </row>
    <row r="5">
      <c r="A5" s="7" t="inlineStr">
        <is>
          <t>Hamilton</t>
        </is>
      </c>
      <c r="C5" s="6" t="inlineStr">
        <is>
          <t>UGA_Type</t>
        </is>
      </c>
    </row>
    <row r="6">
      <c r="A6" s="7" t="inlineStr">
        <is>
          <t>La Conner</t>
        </is>
      </c>
      <c r="C6" s="6" t="inlineStr">
        <is>
          <t>Single_Family_Units</t>
        </is>
      </c>
    </row>
    <row r="7">
      <c r="A7" s="7" t="inlineStr">
        <is>
          <t>Lyman</t>
        </is>
      </c>
      <c r="C7" s="6" t="inlineStr">
        <is>
          <t>Duplex_Units</t>
        </is>
      </c>
    </row>
    <row r="8">
      <c r="A8" s="7" t="inlineStr">
        <is>
          <t>Mount Vernon</t>
        </is>
      </c>
      <c r="C8" s="6" t="inlineStr">
        <is>
          <t>MultiFamily_3_4_Units</t>
        </is>
      </c>
    </row>
    <row r="9">
      <c r="A9" s="7" t="inlineStr">
        <is>
          <t>Sedro-Woolley</t>
        </is>
      </c>
      <c r="C9" s="6" t="inlineStr">
        <is>
          <t>MultiFamily_5_Plus_Units</t>
        </is>
      </c>
    </row>
    <row r="10">
      <c r="A10" s="7" t="inlineStr">
        <is>
          <t>Bay View Ridge UGA</t>
        </is>
      </c>
      <c r="C10" s="6" t="inlineStr">
        <is>
          <t>ADU_Units</t>
        </is>
      </c>
    </row>
    <row r="11">
      <c r="A11" s="7" t="inlineStr">
        <is>
          <t>Swinomish UGA</t>
        </is>
      </c>
      <c r="C11" s="6" t="inlineStr">
        <is>
          <t>Mobile_Home_Units</t>
        </is>
      </c>
    </row>
    <row r="12">
      <c r="A12" s="7" t="inlineStr">
        <is>
          <t>Unincorporated Skagit County</t>
        </is>
      </c>
      <c r="C12" s="6" t="inlineStr">
        <is>
          <t>Total_Permitted_Units</t>
        </is>
      </c>
    </row>
    <row r="13">
      <c r="C13" s="6" t="inlineStr">
        <is>
          <t>Completed_Units</t>
        </is>
      </c>
    </row>
    <row r="14">
      <c r="C14" s="6" t="inlineStr">
        <is>
          <t>Demolished_Units</t>
        </is>
      </c>
    </row>
    <row r="15">
      <c r="C15" s="6" t="inlineStr">
        <is>
          <t>Net_New_Units</t>
        </is>
      </c>
    </row>
    <row r="16">
      <c r="C16" s="6" t="inlineStr">
        <is>
          <t>Total_Valuation_USD</t>
        </is>
      </c>
    </row>
    <row r="17">
      <c r="C17" s="6" t="inlineStr">
        <is>
          <t>Data_Source_Reference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2026-10-08T19:24:16Z</dcterms:created>
  <dcterms:modified xsi:type="dcterms:W3CDTF">2026-10-08T19:24:16Z</dcterms:modified>
</cp:coreProperties>
</file>
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opulation_Master" sheetId="2" state="visible" r:id="rId2"/>
    <sheet name="Ref_Look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#,##0;-#,##0;0"/>
    <numFmt numFmtId="165" formatCode="+0.0%;-0.0%;0.0%"/>
    <numFmt numFmtId="166" formatCode="0.0%"/>
  </numFmts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166" fontId="9" fillId="7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dxfs count="1">
    <dxf>
      <font>
        <name val="Segoe UI"/>
        <b val="1"/>
        <color rgb="00991B1B"/>
        <sz val="10.5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Regional Population Monitoring Intake</t>
        </is>
      </c>
    </row>
    <row r="3">
      <c r="B3" s="2" t="inlineStr">
        <is>
          <t>Master Historical and Annual Population Estimates vs. 2045 GMA Targets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Annual OFM April 1 Release</t>
        </is>
      </c>
      <c r="D7" s="7" t="inlineStr">
        <is>
          <t>Each June/July, download official April 1 determinations from WA OFM Forecasting Division.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</t>
        </is>
      </c>
      <c r="D8" s="7" t="inlineStr">
        <is>
          <t>Check Cell B5 for schema verification banner. Do not alter column headers.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Enter Annual Determination</t>
        </is>
      </c>
      <c r="D9" s="7" t="inlineStr">
        <is>
          <t>Enter the approved determination into Column F (OFM_April1_Population).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GMA Progress Benchmark</t>
        </is>
      </c>
      <c r="D10" s="7" t="inlineStr">
        <is>
          <t>Columns I (Cumulative Growth) and J (Pct Allocation Achieved) calculate automatically vs. adopted 2045 GMA target.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Publish to SharePoint</t>
        </is>
      </c>
      <c r="D11" s="7" t="inlineStr">
        <is>
          <t>Save directly to the designated SCOG SharePoint data repository.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28" customWidth="1" min="4" max="4"/>
    <col width="25" customWidth="1" min="5" max="5"/>
    <col width="22" customWidth="1" min="6" max="6"/>
    <col width="20" customWidth="1" min="7" max="7"/>
    <col width="22" customWidth="1" min="8" max="8"/>
    <col width="20" customWidth="1" min="9" max="9"/>
    <col width="18" customWidth="1" min="10" max="10"/>
    <col width="22" customWidth="1" min="11" max="11"/>
    <col width="22" customWidth="1" min="12" max="12"/>
    <col width="26" customWidth="1" min="13" max="13"/>
    <col width="35" customWidth="1" min="14" max="14"/>
  </cols>
  <sheetData>
    <row r="2">
      <c r="B2" s="1" t="inlineStr">
        <is>
          <t>SCOG Annual Growth Monitoring Report — Master Population Data</t>
        </is>
      </c>
    </row>
    <row r="3">
      <c r="B3" s="2" t="inlineStr">
        <is>
          <t>Regional Population Estimates and 2045 GMA Growth Allocation Tracking</t>
        </is>
      </c>
    </row>
    <row r="5" ht="32" customHeight="1">
      <c r="B5" s="10">
        <f>IF(_xlfn.TEXTJOIN("|",TRUE,B8:N8)=Ref_Lookup!$D$2, "✔ SCHEMA VALID: Columns Match Official Specification", "❌ SCHEMA ERROR: Column(s) altered: " &amp; _xlfn.TEXTJOIN(", ", TRUE,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"")), IF(ISBLANK(N8), "'" &amp; Ref_Lookup!$C$14 &amp; "' [blank]", IF(N8&lt;&gt;Ref_Lookup!$C$14, "'" &amp; Ref_Lookup!$C$14 &amp; "' [found: '" &amp; N8 &amp; "']", ""))))</f>
        <v/>
      </c>
      <c r="G5" s="11">
        <f>IF(SUM(F9:F1000)&gt;0,"✔ BASELINE INTEGRITY: Population Data Present","⚠ INTEGRITY WARNING: Population counts missing!")</f>
        <v/>
      </c>
    </row>
    <row r="8" ht="28" customHeight="1">
      <c r="B8" s="12" t="inlineStr">
        <is>
          <t>Record_ID</t>
        </is>
      </c>
      <c r="C8" s="12" t="inlineStr">
        <is>
          <t>Estimate_Year</t>
        </is>
      </c>
      <c r="D8" s="12" t="inlineStr">
        <is>
          <t>Jurisdiction</t>
        </is>
      </c>
      <c r="E8" s="12" t="inlineStr">
        <is>
          <t>UGA_Classification</t>
        </is>
      </c>
      <c r="F8" s="12" t="inlineStr">
        <is>
          <t>OFM_April1_Population</t>
        </is>
      </c>
      <c r="G8" s="12" t="inlineStr">
        <is>
          <t>Prior_Year_Population</t>
        </is>
      </c>
      <c r="H8" s="12" t="inlineStr">
        <is>
          <t>YoY_Population_Change</t>
        </is>
      </c>
      <c r="I8" s="12" t="inlineStr">
        <is>
          <t>YoY_Growth_Rate_Pct</t>
        </is>
      </c>
      <c r="J8" s="12" t="inlineStr">
        <is>
          <t>Baseline_2022_Pop</t>
        </is>
      </c>
      <c r="K8" s="12" t="inlineStr">
        <is>
          <t>Target_2045_Allocation</t>
        </is>
      </c>
      <c r="L8" s="12" t="inlineStr">
        <is>
          <t>Projected_2045_Growth</t>
        </is>
      </c>
      <c r="M8" s="12" t="inlineStr">
        <is>
          <t>GMA_Allocation_Progress_Pct</t>
        </is>
      </c>
      <c r="N8" s="12" t="inlineStr">
        <is>
          <t>Data_Source_Notes</t>
        </is>
      </c>
    </row>
    <row r="9" ht="21" customHeight="1">
      <c r="B9" s="13" t="inlineStr">
        <is>
          <t>POP-2025-001</t>
        </is>
      </c>
      <c r="C9" s="14" t="n">
        <v>2025</v>
      </c>
      <c r="D9" s="15" t="inlineStr">
        <is>
          <t>Anacortes</t>
        </is>
      </c>
      <c r="E9" s="15" t="inlineStr">
        <is>
          <t>Incorporated City/Town</t>
        </is>
      </c>
      <c r="F9" s="16" t="n">
        <v>18350</v>
      </c>
      <c r="G9" s="17" t="n">
        <v>18270</v>
      </c>
      <c r="H9" s="18">
        <f>F9-G9</f>
        <v/>
      </c>
      <c r="I9" s="19">
        <f>IF(G9&gt;0, H9/G9, 0)</f>
        <v/>
      </c>
      <c r="J9" s="17" t="n">
        <v>17983</v>
      </c>
      <c r="K9" s="17" t="n">
        <v>22971</v>
      </c>
      <c r="L9" s="17">
        <f>K9-J9</f>
        <v/>
      </c>
      <c r="M9" s="20">
        <f>IF(L9&gt;0, (F9-J9)/L9, 0)</f>
        <v/>
      </c>
      <c r="N9" s="21" t="inlineStr">
        <is>
          <t>OFM April 1 2025 Determination</t>
        </is>
      </c>
    </row>
    <row r="10" ht="21" customHeight="1">
      <c r="B10" s="5" t="inlineStr">
        <is>
          <t>POP-2025-002</t>
        </is>
      </c>
      <c r="C10" s="22" t="n">
        <v>2025</v>
      </c>
      <c r="D10" s="23" t="inlineStr">
        <is>
          <t>Burlington</t>
        </is>
      </c>
      <c r="E10" s="23" t="inlineStr">
        <is>
          <t>Incorporated City/Town</t>
        </is>
      </c>
      <c r="F10" s="24" t="n">
        <v>10910</v>
      </c>
      <c r="G10" s="25" t="n">
        <v>10410</v>
      </c>
      <c r="H10" s="18">
        <f>F10-G10</f>
        <v/>
      </c>
      <c r="I10" s="19">
        <f>IF(G10&gt;0, H10/G10, 0)</f>
        <v/>
      </c>
      <c r="J10" s="25" t="n">
        <v>12111</v>
      </c>
      <c r="K10" s="25" t="n">
        <v>16930</v>
      </c>
      <c r="L10" s="25">
        <f>K10-J10</f>
        <v/>
      </c>
      <c r="M10" s="20">
        <f>IF(L10&gt;0, (F10-J10)/L10, 0)</f>
        <v/>
      </c>
      <c r="N10" s="26" t="inlineStr">
        <is>
          <t>OFM April 1 2025 Determination</t>
        </is>
      </c>
    </row>
    <row r="11" ht="21" customHeight="1">
      <c r="B11" s="13" t="inlineStr">
        <is>
          <t>POP-2025-003</t>
        </is>
      </c>
      <c r="C11" s="14" t="n">
        <v>2025</v>
      </c>
      <c r="D11" s="15" t="inlineStr">
        <is>
          <t>Concrete</t>
        </is>
      </c>
      <c r="E11" s="15" t="inlineStr">
        <is>
          <t>Incorporated City/Town</t>
        </is>
      </c>
      <c r="F11" s="16" t="n">
        <v>815</v>
      </c>
      <c r="G11" s="17" t="n">
        <v>810</v>
      </c>
      <c r="H11" s="18">
        <f>F11-G11</f>
        <v/>
      </c>
      <c r="I11" s="19">
        <f>IF(G11&gt;0, H11/G11, 0)</f>
        <v/>
      </c>
      <c r="J11" s="17" t="n">
        <v>949</v>
      </c>
      <c r="K11" s="17" t="n">
        <v>1130</v>
      </c>
      <c r="L11" s="17">
        <f>K11-J11</f>
        <v/>
      </c>
      <c r="M11" s="20">
        <f>IF(L11&gt;0, (F11-J11)/L11, 0)</f>
        <v/>
      </c>
      <c r="N11" s="21" t="inlineStr">
        <is>
          <t>OFM April 1 2025 Determination</t>
        </is>
      </c>
    </row>
    <row r="12" ht="21" customHeight="1">
      <c r="B12" s="5" t="inlineStr">
        <is>
          <t>POP-2025-004</t>
        </is>
      </c>
      <c r="C12" s="22" t="n">
        <v>2025</v>
      </c>
      <c r="D12" s="23" t="inlineStr">
        <is>
          <t>Hamilton</t>
        </is>
      </c>
      <c r="E12" s="23" t="inlineStr">
        <is>
          <t>Incorporated City/Town</t>
        </is>
      </c>
      <c r="F12" s="24" t="n">
        <v>295</v>
      </c>
      <c r="G12" s="25" t="n">
        <v>295</v>
      </c>
      <c r="H12" s="18">
        <f>F12-G12</f>
        <v/>
      </c>
      <c r="I12" s="19">
        <f>IF(G12&gt;0, H12/G12, 0)</f>
        <v/>
      </c>
      <c r="J12" s="25" t="n">
        <v>302</v>
      </c>
      <c r="K12" s="25" t="n">
        <v>302</v>
      </c>
      <c r="L12" s="25">
        <f>K12-J12</f>
        <v/>
      </c>
      <c r="M12" s="20">
        <f>IF(L12&gt;0, (F12-J12)/L12, 0)</f>
        <v/>
      </c>
      <c r="N12" s="26" t="inlineStr">
        <is>
          <t>OFM April 1 2025 Determination</t>
        </is>
      </c>
    </row>
    <row r="13" ht="21" customHeight="1">
      <c r="B13" s="13" t="inlineStr">
        <is>
          <t>POP-2025-005</t>
        </is>
      </c>
      <c r="C13" s="14" t="n">
        <v>2025</v>
      </c>
      <c r="D13" s="15" t="inlineStr">
        <is>
          <t>La Conner</t>
        </is>
      </c>
      <c r="E13" s="15" t="inlineStr">
        <is>
          <t>Incorporated City/Town</t>
        </is>
      </c>
      <c r="F13" s="16" t="n">
        <v>1000</v>
      </c>
      <c r="G13" s="17" t="n">
        <v>995</v>
      </c>
      <c r="H13" s="18">
        <f>F13-G13</f>
        <v/>
      </c>
      <c r="I13" s="19">
        <f>IF(G13&gt;0, H13/G13, 0)</f>
        <v/>
      </c>
      <c r="J13" s="17" t="n">
        <v>980</v>
      </c>
      <c r="K13" s="17" t="n">
        <v>1191</v>
      </c>
      <c r="L13" s="17">
        <f>K13-J13</f>
        <v/>
      </c>
      <c r="M13" s="20">
        <f>IF(L13&gt;0, (F13-J13)/L13, 0)</f>
        <v/>
      </c>
      <c r="N13" s="21" t="inlineStr">
        <is>
          <t>OFM April 1 2025 Determination</t>
        </is>
      </c>
    </row>
    <row r="14" ht="21" customHeight="1">
      <c r="B14" s="5" t="inlineStr">
        <is>
          <t>POP-2025-006</t>
        </is>
      </c>
      <c r="C14" s="22" t="n">
        <v>2025</v>
      </c>
      <c r="D14" s="23" t="inlineStr">
        <is>
          <t>Lyman</t>
        </is>
      </c>
      <c r="E14" s="23" t="inlineStr">
        <is>
          <t>Incorporated City/Town</t>
        </is>
      </c>
      <c r="F14" s="24" t="n">
        <v>440</v>
      </c>
      <c r="G14" s="25" t="n">
        <v>430</v>
      </c>
      <c r="H14" s="18">
        <f>F14-G14</f>
        <v/>
      </c>
      <c r="I14" s="19">
        <f>IF(G14&gt;0, H14/G14, 0)</f>
        <v/>
      </c>
      <c r="J14" s="25" t="n">
        <v>425</v>
      </c>
      <c r="K14" s="25" t="n">
        <v>425</v>
      </c>
      <c r="L14" s="25">
        <f>K14-J14</f>
        <v/>
      </c>
      <c r="M14" s="20">
        <f>IF(L14&gt;0, (F14-J14)/L14, 0)</f>
        <v/>
      </c>
      <c r="N14" s="26" t="inlineStr">
        <is>
          <t>OFM April 1 2025 Determination</t>
        </is>
      </c>
    </row>
    <row r="15" ht="21" customHeight="1">
      <c r="B15" s="13" t="inlineStr">
        <is>
          <t>POP-2025-007</t>
        </is>
      </c>
      <c r="C15" s="14" t="n">
        <v>2025</v>
      </c>
      <c r="D15" s="15" t="inlineStr">
        <is>
          <t>Mount Vernon</t>
        </is>
      </c>
      <c r="E15" s="15" t="inlineStr">
        <is>
          <t>Incorporated City/Town</t>
        </is>
      </c>
      <c r="F15" s="16" t="n">
        <v>36050</v>
      </c>
      <c r="G15" s="17" t="n">
        <v>35800</v>
      </c>
      <c r="H15" s="18">
        <f>F15-G15</f>
        <v/>
      </c>
      <c r="I15" s="19">
        <f>IF(G15&gt;0, H15/G15, 0)</f>
        <v/>
      </c>
      <c r="J15" s="17" t="n">
        <v>37679</v>
      </c>
      <c r="K15" s="17" t="n">
        <v>46460</v>
      </c>
      <c r="L15" s="17">
        <f>K15-J15</f>
        <v/>
      </c>
      <c r="M15" s="20">
        <f>IF(L15&gt;0, (F15-J15)/L15, 0)</f>
        <v/>
      </c>
      <c r="N15" s="21" t="inlineStr">
        <is>
          <t>OFM April 1 2025 Determination</t>
        </is>
      </c>
    </row>
    <row r="16" ht="21" customHeight="1">
      <c r="B16" s="5" t="inlineStr">
        <is>
          <t>POP-2025-008</t>
        </is>
      </c>
      <c r="C16" s="22" t="n">
        <v>2025</v>
      </c>
      <c r="D16" s="23" t="inlineStr">
        <is>
          <t>Sedro-Woolley</t>
        </is>
      </c>
      <c r="E16" s="23" t="inlineStr">
        <is>
          <t>Incorporated City/Town</t>
        </is>
      </c>
      <c r="F16" s="24" t="n">
        <v>13360</v>
      </c>
      <c r="G16" s="25" t="n">
        <v>13080</v>
      </c>
      <c r="H16" s="18">
        <f>F16-G16</f>
        <v/>
      </c>
      <c r="I16" s="19">
        <f>IF(G16&gt;0, H16/G16, 0)</f>
        <v/>
      </c>
      <c r="J16" s="25" t="n">
        <v>14096</v>
      </c>
      <c r="K16" s="25" t="n">
        <v>18582</v>
      </c>
      <c r="L16" s="25">
        <f>K16-J16</f>
        <v/>
      </c>
      <c r="M16" s="20">
        <f>IF(L16&gt;0, (F16-J16)/L16, 0)</f>
        <v/>
      </c>
      <c r="N16" s="26" t="inlineStr">
        <is>
          <t>OFM April 1 2025 Determination</t>
        </is>
      </c>
    </row>
    <row r="17" ht="21" customHeight="1">
      <c r="B17" s="13" t="inlineStr">
        <is>
          <t>POP-2025-009</t>
        </is>
      </c>
      <c r="C17" s="14" t="n">
        <v>2025</v>
      </c>
      <c r="D17" s="15" t="inlineStr">
        <is>
          <t>Bay View Ridge UGA</t>
        </is>
      </c>
      <c r="E17" s="15" t="inlineStr">
        <is>
          <t>Urban Growth Area (UGA)</t>
        </is>
      </c>
      <c r="F17" s="16" t="n">
        <v>1710</v>
      </c>
      <c r="G17" s="17" t="n">
        <v>1694</v>
      </c>
      <c r="H17" s="18">
        <f>F17-G17</f>
        <v/>
      </c>
      <c r="I17" s="19">
        <f>IF(G17&gt;0, H17/G17, 0)</f>
        <v/>
      </c>
      <c r="J17" s="17" t="n">
        <v>1694</v>
      </c>
      <c r="K17" s="17" t="n">
        <v>1694</v>
      </c>
      <c r="L17" s="17">
        <f>K17-J17</f>
        <v/>
      </c>
      <c r="M17" s="20">
        <f>IF(L17&gt;0, (F17-J17)/L17, 0)</f>
        <v/>
      </c>
      <c r="N17" s="21" t="inlineStr">
        <is>
          <t>SAEP UGA Estimate 2025</t>
        </is>
      </c>
    </row>
    <row r="18" ht="21" customHeight="1">
      <c r="B18" s="5" t="inlineStr">
        <is>
          <t>POP-2025-010</t>
        </is>
      </c>
      <c r="C18" s="22" t="n">
        <v>2025</v>
      </c>
      <c r="D18" s="23" t="inlineStr">
        <is>
          <t>Swinomish UGA</t>
        </is>
      </c>
      <c r="E18" s="23" t="inlineStr">
        <is>
          <t>Urban Growth Area (UGA)</t>
        </is>
      </c>
      <c r="F18" s="24" t="n">
        <v>2610</v>
      </c>
      <c r="G18" s="25" t="n">
        <v>2580</v>
      </c>
      <c r="H18" s="18">
        <f>F18-G18</f>
        <v/>
      </c>
      <c r="I18" s="19">
        <f>IF(G18&gt;0, H18/G18, 0)</f>
        <v/>
      </c>
      <c r="J18" s="25" t="n">
        <v>2565</v>
      </c>
      <c r="K18" s="25" t="n">
        <v>2764</v>
      </c>
      <c r="L18" s="25">
        <f>K18-J18</f>
        <v/>
      </c>
      <c r="M18" s="20">
        <f>IF(L18&gt;0, (F18-J18)/L18, 0)</f>
        <v/>
      </c>
      <c r="N18" s="26" t="inlineStr">
        <is>
          <t>SAEP UGA Estimate 2025</t>
        </is>
      </c>
    </row>
    <row r="19" ht="21" customHeight="1">
      <c r="B19" s="13" t="inlineStr">
        <is>
          <t>POP-2025-011</t>
        </is>
      </c>
      <c r="C19" s="14" t="n">
        <v>2025</v>
      </c>
      <c r="D19" s="15" t="inlineStr">
        <is>
          <t>Unincorporated Skagit County</t>
        </is>
      </c>
      <c r="E19" s="15" t="inlineStr">
        <is>
          <t>Unincorporated Rural Area</t>
        </is>
      </c>
      <c r="F19" s="16" t="n">
        <v>53380</v>
      </c>
      <c r="G19" s="17" t="n">
        <v>53210</v>
      </c>
      <c r="H19" s="18">
        <f>F19-G19</f>
        <v/>
      </c>
      <c r="I19" s="19">
        <f>IF(G19&gt;0, H19/G19, 0)</f>
        <v/>
      </c>
      <c r="J19" s="17" t="n">
        <v>42465</v>
      </c>
      <c r="K19" s="17" t="n">
        <v>48381</v>
      </c>
      <c r="L19" s="17">
        <f>K19-J19</f>
        <v/>
      </c>
      <c r="M19" s="20">
        <f>IF(L19&gt;0, (F19-J19)/L19, 0)</f>
        <v/>
      </c>
      <c r="N19" s="21" t="inlineStr">
        <is>
          <t>OFM Unincorporated Remainder</t>
        </is>
      </c>
    </row>
    <row r="20" ht="21" customHeight="1">
      <c r="B20" s="5" t="inlineStr">
        <is>
          <t>POP-2026-001</t>
        </is>
      </c>
      <c r="C20" s="22" t="n">
        <v>2026</v>
      </c>
      <c r="D20" s="23" t="inlineStr">
        <is>
          <t>Anacortes</t>
        </is>
      </c>
      <c r="E20" s="23" t="inlineStr">
        <is>
          <t>Incorporated City/Town</t>
        </is>
      </c>
      <c r="F20" s="24" t="n">
        <v>18410</v>
      </c>
      <c r="G20" s="25" t="n">
        <v>18350</v>
      </c>
      <c r="H20" s="18">
        <f>F20-G20</f>
        <v/>
      </c>
      <c r="I20" s="19">
        <f>IF(G20&gt;0, H20/G20, 0)</f>
        <v/>
      </c>
      <c r="J20" s="25" t="n">
        <v>17983</v>
      </c>
      <c r="K20" s="25" t="n">
        <v>22971</v>
      </c>
      <c r="L20" s="25">
        <f>K20-J20</f>
        <v/>
      </c>
      <c r="M20" s="20">
        <f>IF(L20&gt;0, (F20-J20)/L20, 0)</f>
        <v/>
      </c>
      <c r="N20" s="26" t="inlineStr">
        <is>
          <t>OFM April 1 2026 Final Release</t>
        </is>
      </c>
    </row>
    <row r="21" ht="21" customHeight="1">
      <c r="B21" s="13" t="inlineStr">
        <is>
          <t>POP-2026-002</t>
        </is>
      </c>
      <c r="C21" s="14" t="n">
        <v>2026</v>
      </c>
      <c r="D21" s="15" t="inlineStr">
        <is>
          <t>Burlington</t>
        </is>
      </c>
      <c r="E21" s="15" t="inlineStr">
        <is>
          <t>Incorporated City/Town</t>
        </is>
      </c>
      <c r="F21" s="16" t="n">
        <v>11200</v>
      </c>
      <c r="G21" s="17" t="n">
        <v>10910</v>
      </c>
      <c r="H21" s="18">
        <f>F21-G21</f>
        <v/>
      </c>
      <c r="I21" s="19">
        <f>IF(G21&gt;0, H21/G21, 0)</f>
        <v/>
      </c>
      <c r="J21" s="17" t="n">
        <v>12111</v>
      </c>
      <c r="K21" s="17" t="n">
        <v>16930</v>
      </c>
      <c r="L21" s="17">
        <f>K21-J21</f>
        <v/>
      </c>
      <c r="M21" s="20">
        <f>IF(L21&gt;0, (F21-J21)/L21, 0)</f>
        <v/>
      </c>
      <c r="N21" s="21" t="inlineStr">
        <is>
          <t>OFM April 1 2026 Final Release</t>
        </is>
      </c>
    </row>
    <row r="22" ht="21" customHeight="1">
      <c r="B22" s="5" t="inlineStr">
        <is>
          <t>POP-2026-003</t>
        </is>
      </c>
      <c r="C22" s="22" t="n">
        <v>2026</v>
      </c>
      <c r="D22" s="23" t="inlineStr">
        <is>
          <t>Concrete</t>
        </is>
      </c>
      <c r="E22" s="23" t="inlineStr">
        <is>
          <t>Incorporated City/Town</t>
        </is>
      </c>
      <c r="F22" s="24" t="n">
        <v>815</v>
      </c>
      <c r="G22" s="25" t="n">
        <v>815</v>
      </c>
      <c r="H22" s="18">
        <f>F22-G22</f>
        <v/>
      </c>
      <c r="I22" s="19">
        <f>IF(G22&gt;0, H22/G22, 0)</f>
        <v/>
      </c>
      <c r="J22" s="25" t="n">
        <v>949</v>
      </c>
      <c r="K22" s="25" t="n">
        <v>1130</v>
      </c>
      <c r="L22" s="25">
        <f>K22-J22</f>
        <v/>
      </c>
      <c r="M22" s="20">
        <f>IF(L22&gt;0, (F22-J22)/L22, 0)</f>
        <v/>
      </c>
      <c r="N22" s="26" t="inlineStr">
        <is>
          <t>OFM April 1 2026 Final Release</t>
        </is>
      </c>
    </row>
    <row r="23" ht="21" customHeight="1">
      <c r="B23" s="13" t="inlineStr">
        <is>
          <t>POP-2026-004</t>
        </is>
      </c>
      <c r="C23" s="14" t="n">
        <v>2026</v>
      </c>
      <c r="D23" s="15" t="inlineStr">
        <is>
          <t>Hamilton</t>
        </is>
      </c>
      <c r="E23" s="15" t="inlineStr">
        <is>
          <t>Incorporated City/Town</t>
        </is>
      </c>
      <c r="F23" s="16" t="n">
        <v>290</v>
      </c>
      <c r="G23" s="17" t="n">
        <v>295</v>
      </c>
      <c r="H23" s="18">
        <f>F23-G23</f>
        <v/>
      </c>
      <c r="I23" s="19">
        <f>IF(G23&gt;0, H23/G23, 0)</f>
        <v/>
      </c>
      <c r="J23" s="17" t="n">
        <v>302</v>
      </c>
      <c r="K23" s="17" t="n">
        <v>302</v>
      </c>
      <c r="L23" s="17">
        <f>K23-J23</f>
        <v/>
      </c>
      <c r="M23" s="20">
        <f>IF(L23&gt;0, (F23-J23)/L23, 0)</f>
        <v/>
      </c>
      <c r="N23" s="21" t="inlineStr">
        <is>
          <t>OFM April 1 2026 Final Release</t>
        </is>
      </c>
    </row>
    <row r="24" ht="21" customHeight="1">
      <c r="B24" s="5" t="inlineStr">
        <is>
          <t>POP-2026-005</t>
        </is>
      </c>
      <c r="C24" s="22" t="n">
        <v>2026</v>
      </c>
      <c r="D24" s="23" t="inlineStr">
        <is>
          <t>La Conner</t>
        </is>
      </c>
      <c r="E24" s="23" t="inlineStr">
        <is>
          <t>Incorporated City/Town</t>
        </is>
      </c>
      <c r="F24" s="24" t="n">
        <v>1000</v>
      </c>
      <c r="G24" s="25" t="n">
        <v>1000</v>
      </c>
      <c r="H24" s="18">
        <f>F24-G24</f>
        <v/>
      </c>
      <c r="I24" s="19">
        <f>IF(G24&gt;0, H24/G24, 0)</f>
        <v/>
      </c>
      <c r="J24" s="25" t="n">
        <v>980</v>
      </c>
      <c r="K24" s="25" t="n">
        <v>1191</v>
      </c>
      <c r="L24" s="25">
        <f>K24-J24</f>
        <v/>
      </c>
      <c r="M24" s="20">
        <f>IF(L24&gt;0, (F24-J24)/L24, 0)</f>
        <v/>
      </c>
      <c r="N24" s="26" t="inlineStr">
        <is>
          <t>OFM April 1 2026 Final Release</t>
        </is>
      </c>
    </row>
    <row r="25" ht="21" customHeight="1">
      <c r="B25" s="13" t="inlineStr">
        <is>
          <t>POP-2026-006</t>
        </is>
      </c>
      <c r="C25" s="14" t="n">
        <v>2026</v>
      </c>
      <c r="D25" s="15" t="inlineStr">
        <is>
          <t>Lyman</t>
        </is>
      </c>
      <c r="E25" s="15" t="inlineStr">
        <is>
          <t>Incorporated City/Town</t>
        </is>
      </c>
      <c r="F25" s="16" t="n">
        <v>445</v>
      </c>
      <c r="G25" s="17" t="n">
        <v>440</v>
      </c>
      <c r="H25" s="18">
        <f>F25-G25</f>
        <v/>
      </c>
      <c r="I25" s="19">
        <f>IF(G25&gt;0, H25/G25, 0)</f>
        <v/>
      </c>
      <c r="J25" s="17" t="n">
        <v>425</v>
      </c>
      <c r="K25" s="17" t="n">
        <v>425</v>
      </c>
      <c r="L25" s="17">
        <f>K25-J25</f>
        <v/>
      </c>
      <c r="M25" s="20">
        <f>IF(L25&gt;0, (F25-J25)/L25, 0)</f>
        <v/>
      </c>
      <c r="N25" s="21" t="inlineStr">
        <is>
          <t>OFM April 1 2026 Final Release</t>
        </is>
      </c>
    </row>
    <row r="26" ht="21" customHeight="1">
      <c r="B26" s="5" t="inlineStr">
        <is>
          <t>POP-2026-007</t>
        </is>
      </c>
      <c r="C26" s="22" t="n">
        <v>2026</v>
      </c>
      <c r="D26" s="23" t="inlineStr">
        <is>
          <t>Mount Vernon</t>
        </is>
      </c>
      <c r="E26" s="23" t="inlineStr">
        <is>
          <t>Incorporated City/Town</t>
        </is>
      </c>
      <c r="F26" s="24" t="n">
        <v>36090</v>
      </c>
      <c r="G26" s="25" t="n">
        <v>36050</v>
      </c>
      <c r="H26" s="18">
        <f>F26-G26</f>
        <v/>
      </c>
      <c r="I26" s="19">
        <f>IF(G26&gt;0, H26/G26, 0)</f>
        <v/>
      </c>
      <c r="J26" s="25" t="n">
        <v>37679</v>
      </c>
      <c r="K26" s="25" t="n">
        <v>46460</v>
      </c>
      <c r="L26" s="25">
        <f>K26-J26</f>
        <v/>
      </c>
      <c r="M26" s="20">
        <f>IF(L26&gt;0, (F26-J26)/L26, 0)</f>
        <v/>
      </c>
      <c r="N26" s="26" t="inlineStr">
        <is>
          <t>OFM April 1 2026 Final Release</t>
        </is>
      </c>
    </row>
    <row r="27" ht="21" customHeight="1">
      <c r="B27" s="13" t="inlineStr">
        <is>
          <t>POP-2026-008</t>
        </is>
      </c>
      <c r="C27" s="14" t="n">
        <v>2026</v>
      </c>
      <c r="D27" s="15" t="inlineStr">
        <is>
          <t>Sedro-Woolley</t>
        </is>
      </c>
      <c r="E27" s="15" t="inlineStr">
        <is>
          <t>Incorporated City/Town</t>
        </is>
      </c>
      <c r="F27" s="16" t="n">
        <v>13520</v>
      </c>
      <c r="G27" s="17" t="n">
        <v>13360</v>
      </c>
      <c r="H27" s="18">
        <f>F27-G27</f>
        <v/>
      </c>
      <c r="I27" s="19">
        <f>IF(G27&gt;0, H27/G27, 0)</f>
        <v/>
      </c>
      <c r="J27" s="17" t="n">
        <v>14096</v>
      </c>
      <c r="K27" s="17" t="n">
        <v>18582</v>
      </c>
      <c r="L27" s="17">
        <f>K27-J27</f>
        <v/>
      </c>
      <c r="M27" s="20">
        <f>IF(L27&gt;0, (F27-J27)/L27, 0)</f>
        <v/>
      </c>
      <c r="N27" s="21" t="inlineStr">
        <is>
          <t>OFM April 1 2026 Final Release</t>
        </is>
      </c>
    </row>
    <row r="28" ht="21" customHeight="1">
      <c r="B28" s="5" t="inlineStr">
        <is>
          <t>POP-2026-009</t>
        </is>
      </c>
      <c r="C28" s="22" t="n">
        <v>2026</v>
      </c>
      <c r="D28" s="23" t="inlineStr">
        <is>
          <t>Bay View Ridge UGA</t>
        </is>
      </c>
      <c r="E28" s="23" t="inlineStr">
        <is>
          <t>Urban Growth Area (UGA)</t>
        </is>
      </c>
      <c r="F28" s="24" t="n">
        <v>1720</v>
      </c>
      <c r="G28" s="25" t="n">
        <v>1710</v>
      </c>
      <c r="H28" s="18">
        <f>F28-G28</f>
        <v/>
      </c>
      <c r="I28" s="19">
        <f>IF(G28&gt;0, H28/G28, 0)</f>
        <v/>
      </c>
      <c r="J28" s="25" t="n">
        <v>1694</v>
      </c>
      <c r="K28" s="25" t="n">
        <v>1694</v>
      </c>
      <c r="L28" s="25">
        <f>K28-J28</f>
        <v/>
      </c>
      <c r="M28" s="20">
        <f>IF(L28&gt;0, (F28-J28)/L28, 0)</f>
        <v/>
      </c>
      <c r="N28" s="26" t="inlineStr">
        <is>
          <t>Pending 2026 SAEP / Interim</t>
        </is>
      </c>
    </row>
    <row r="29" ht="21" customHeight="1">
      <c r="B29" s="13" t="inlineStr">
        <is>
          <t>POP-2026-010</t>
        </is>
      </c>
      <c r="C29" s="14" t="n">
        <v>2026</v>
      </c>
      <c r="D29" s="15" t="inlineStr">
        <is>
          <t>Swinomish UGA</t>
        </is>
      </c>
      <c r="E29" s="15" t="inlineStr">
        <is>
          <t>Urban Growth Area (UGA)</t>
        </is>
      </c>
      <c r="F29" s="16" t="n">
        <v>2630</v>
      </c>
      <c r="G29" s="17" t="n">
        <v>2610</v>
      </c>
      <c r="H29" s="18">
        <f>F29-G29</f>
        <v/>
      </c>
      <c r="I29" s="19">
        <f>IF(G29&gt;0, H29/G29, 0)</f>
        <v/>
      </c>
      <c r="J29" s="17" t="n">
        <v>2565</v>
      </c>
      <c r="K29" s="17" t="n">
        <v>2764</v>
      </c>
      <c r="L29" s="17">
        <f>K29-J29</f>
        <v/>
      </c>
      <c r="M29" s="20">
        <f>IF(L29&gt;0, (F29-J29)/L29, 0)</f>
        <v/>
      </c>
      <c r="N29" s="21" t="inlineStr">
        <is>
          <t>Pending 2026 SAEP / Interim</t>
        </is>
      </c>
    </row>
    <row r="30" ht="21" customHeight="1">
      <c r="B30" s="5" t="inlineStr">
        <is>
          <t>POP-2026-011</t>
        </is>
      </c>
      <c r="C30" s="22" t="n">
        <v>2026</v>
      </c>
      <c r="D30" s="23" t="inlineStr">
        <is>
          <t>Unincorporated Skagit County</t>
        </is>
      </c>
      <c r="E30" s="23" t="inlineStr">
        <is>
          <t>Unincorporated Rural Area</t>
        </is>
      </c>
      <c r="F30" s="24" t="n">
        <v>53580</v>
      </c>
      <c r="G30" s="25" t="n">
        <v>53380</v>
      </c>
      <c r="H30" s="18">
        <f>F30-G30</f>
        <v/>
      </c>
      <c r="I30" s="19">
        <f>IF(G30&gt;0, H30/G30, 0)</f>
        <v/>
      </c>
      <c r="J30" s="25" t="n">
        <v>42465</v>
      </c>
      <c r="K30" s="25" t="n">
        <v>48381</v>
      </c>
      <c r="L30" s="25">
        <f>K30-J30</f>
        <v/>
      </c>
      <c r="M30" s="20">
        <f>IF(L30&gt;0, (F30-J30)/L30, 0)</f>
        <v/>
      </c>
      <c r="N30" s="26" t="inlineStr">
        <is>
          <t>OFM Unincorporated Remainder</t>
        </is>
      </c>
    </row>
  </sheetData>
  <mergeCells count="2">
    <mergeCell ref="G5:K5"/>
    <mergeCell ref="B5:F5"/>
  </mergeCells>
  <conditionalFormatting sqref="B5:F5">
    <cfRule type="expression" priority="1" dxfId="0">
      <formula>ISNUMBER(SEARCH("❌",B5))</formula>
    </cfRule>
  </conditionalFormatting>
  <dataValidations count="1">
    <dataValidation sqref="D9:D500" showDropDown="0" showInputMessage="0" showErrorMessage="0" allowBlank="1" type="list">
      <formula1>Ref_Lookup!$A$2:$A$12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7" t="inlineStr">
        <is>
          <t>Jurisdiction_Master</t>
        </is>
      </c>
      <c r="B1" s="27" t="inlineStr">
        <is>
          <t>UGA_Classification</t>
        </is>
      </c>
      <c r="C1" s="28" t="inlineStr">
        <is>
          <t>Official_Header_Schema</t>
        </is>
      </c>
      <c r="D1" s="27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29" t="inlineStr">
        <is>
          <t>Record_ID|Estimate_Year|Jurisdiction|UGA_Classification|OFM_April1_Population|Prior_Year_Population|YoY_Population_Change|YoY_Growth_Rate_Pct|Baseline_2022_Pop|Target_2045_Allocation|Projected_2045_Growth|GMA_Allocation_Progress_Pct|Data_Source_Notes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Estimate_Year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Jurisdiction</t>
        </is>
      </c>
    </row>
    <row r="5">
      <c r="A5" s="7" t="inlineStr">
        <is>
          <t>Hamilton</t>
        </is>
      </c>
      <c r="C5" s="6" t="inlineStr">
        <is>
          <t>UGA_Classification</t>
        </is>
      </c>
    </row>
    <row r="6">
      <c r="A6" s="7" t="inlineStr">
        <is>
          <t>La Conner</t>
        </is>
      </c>
      <c r="C6" s="6" t="inlineStr">
        <is>
          <t>OFM_April1_Population</t>
        </is>
      </c>
    </row>
    <row r="7">
      <c r="A7" s="7" t="inlineStr">
        <is>
          <t>Lyman</t>
        </is>
      </c>
      <c r="C7" s="6" t="inlineStr">
        <is>
          <t>Prior_Year_Population</t>
        </is>
      </c>
    </row>
    <row r="8">
      <c r="A8" s="7" t="inlineStr">
        <is>
          <t>Mount Vernon</t>
        </is>
      </c>
      <c r="C8" s="6" t="inlineStr">
        <is>
          <t>YoY_Population_Change</t>
        </is>
      </c>
    </row>
    <row r="9">
      <c r="A9" s="7" t="inlineStr">
        <is>
          <t>Sedro-Woolley</t>
        </is>
      </c>
      <c r="C9" s="6" t="inlineStr">
        <is>
          <t>YoY_Growth_Rate_Pct</t>
        </is>
      </c>
    </row>
    <row r="10">
      <c r="A10" s="7" t="inlineStr">
        <is>
          <t>Bay View Ridge UGA</t>
        </is>
      </c>
      <c r="C10" s="6" t="inlineStr">
        <is>
          <t>Baseline_2022_Pop</t>
        </is>
      </c>
    </row>
    <row r="11">
      <c r="A11" s="7" t="inlineStr">
        <is>
          <t>Swinomish UGA</t>
        </is>
      </c>
      <c r="C11" s="6" t="inlineStr">
        <is>
          <t>Target_2045_Allocation</t>
        </is>
      </c>
    </row>
    <row r="12">
      <c r="A12" s="7" t="inlineStr">
        <is>
          <t>Unincorporated Skagit County</t>
        </is>
      </c>
      <c r="C12" s="6" t="inlineStr">
        <is>
          <t>Projected_2045_Growth</t>
        </is>
      </c>
    </row>
    <row r="13">
      <c r="C13" s="6" t="inlineStr">
        <is>
          <t>GMA_Allocation_Progress_Pct</t>
        </is>
      </c>
    </row>
    <row r="14">
      <c r="C14" s="6" t="inlineStr">
        <is>
          <t>Data_Source_Notes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2026-10-08T18:52:12Z</dcterms:created>
  <dcterms:modified xsi:type="dcterms:W3CDTF">2026-10-08T18:52:12Z</dcterms:modified>
</cp:coreProperties>
</file>